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ADEC8B32-2DA8-4968-8099-B802EC4326D3}" xr6:coauthVersionLast="47" xr6:coauthVersionMax="47" xr10:uidLastSave="{00000000-0000-0000-0000-000000000000}"/>
  <bookViews>
    <workbookView xWindow="-110" yWindow="-110" windowWidth="19420" windowHeight="10300" firstSheet="9" activeTab="10" xr2:uid="{EB856EB1-1DCD-49AF-824E-C60B6C9B768A}"/>
  </bookViews>
  <sheets>
    <sheet name="avg discount&amp;rating p category" sheetId="2" r:id="rId1"/>
    <sheet name="discount percentage&amp;reviews" sheetId="3" r:id="rId2"/>
    <sheet name="rating&amp;reviews" sheetId="4" r:id="rId3"/>
    <sheet name="top 5 highest rated" sheetId="5" r:id="rId4"/>
    <sheet name="top 5 lowest rated" sheetId="6" r:id="rId5"/>
    <sheet name="10 highest dicounted products" sheetId="7" r:id="rId6"/>
    <sheet name="10 most reviewed products" sheetId="8" r:id="rId7"/>
    <sheet name="performance comparison" sheetId="9" r:id="rId8"/>
    <sheet name="rating category breakdown" sheetId="10" r:id="rId9"/>
    <sheet name="top 10 rated" sheetId="13" r:id="rId10"/>
    <sheet name="discount category breakdown" sheetId="11" r:id="rId11"/>
    <sheet name="Dashboard" sheetId="12" r:id="rId12"/>
    <sheet name="product with high rating&amp;disco " sheetId="14" r:id="rId13"/>
    <sheet name="Excel_jumia_dataset" sheetId="1" r:id="rId14"/>
  </sheets>
  <definedNames>
    <definedName name="_xlnm._FilterDatabase" localSheetId="13" hidden="1">Excel_jumia_dataset!$A$1:$F$116</definedName>
    <definedName name="Slicer_Current_price">#N/A</definedName>
    <definedName name="Slicer_Discount">#N/A</definedName>
    <definedName name="Slicer_Discount_Category">#N/A</definedName>
    <definedName name="Slicer_Product">#N/A</definedName>
    <definedName name="Slicer_Rating_Category">#N/A</definedName>
    <definedName name="Slicer_Ratings">#N/A</definedName>
  </definedNames>
  <calcPr calcId="191029"/>
  <pivotCaches>
    <pivotCache cacheId="2" r:id="rId15"/>
  </pivotCaches>
  <fileRecoveryPr repairLoad="1"/>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4" i="1"/>
  <c r="H25" i="1"/>
  <c r="H26" i="1"/>
  <c r="H27" i="1"/>
  <c r="H28" i="1"/>
  <c r="H29" i="1"/>
  <c r="H30" i="1"/>
  <c r="H32" i="1"/>
  <c r="H33" i="1"/>
  <c r="H34" i="1"/>
  <c r="H35" i="1"/>
  <c r="H36" i="1"/>
  <c r="H37" i="1"/>
  <c r="H38" i="1"/>
  <c r="H39" i="1"/>
  <c r="H40" i="1"/>
  <c r="H61" i="1"/>
  <c r="H62" i="1"/>
  <c r="H63" i="1"/>
  <c r="H64" i="1"/>
  <c r="H65" i="1"/>
  <c r="H66" i="1"/>
  <c r="H67" i="1"/>
  <c r="H68" i="1"/>
  <c r="H69" i="1"/>
  <c r="H70" i="1"/>
  <c r="H71" i="1"/>
  <c r="H72" i="1"/>
  <c r="H73" i="1"/>
  <c r="H74" i="1"/>
  <c r="H75" i="1"/>
  <c r="H80" i="1"/>
  <c r="H81" i="1"/>
  <c r="H84" i="1"/>
  <c r="H103" i="1"/>
  <c r="H112" i="1"/>
  <c r="H2" i="1"/>
  <c r="B120" i="1" l="1"/>
  <c r="B119" i="1"/>
  <c r="D115" i="1"/>
  <c r="C115" i="1"/>
  <c r="B115" i="1"/>
  <c r="A114" i="1"/>
  <c r="I112" i="1"/>
  <c r="G112" i="1"/>
  <c r="I111" i="1"/>
  <c r="G111" i="1"/>
  <c r="I110" i="1"/>
  <c r="G110" i="1"/>
  <c r="I109" i="1"/>
  <c r="G109" i="1"/>
  <c r="I108" i="1"/>
  <c r="G108" i="1"/>
  <c r="I107" i="1"/>
  <c r="G107" i="1"/>
  <c r="I106" i="1"/>
  <c r="G106" i="1"/>
  <c r="I105" i="1"/>
  <c r="G105" i="1"/>
  <c r="I104" i="1"/>
  <c r="G104" i="1"/>
  <c r="I103" i="1"/>
  <c r="G103" i="1"/>
  <c r="I102" i="1"/>
  <c r="G102" i="1"/>
  <c r="I101" i="1"/>
  <c r="G101" i="1"/>
  <c r="I100" i="1"/>
  <c r="G100" i="1"/>
  <c r="I99" i="1"/>
  <c r="G99" i="1"/>
  <c r="I98" i="1"/>
  <c r="G98" i="1"/>
  <c r="I97" i="1"/>
  <c r="G97" i="1"/>
  <c r="I96" i="1"/>
  <c r="G96" i="1"/>
  <c r="I95" i="1"/>
  <c r="G95" i="1"/>
  <c r="I94" i="1"/>
  <c r="G94" i="1"/>
  <c r="I93" i="1"/>
  <c r="G93" i="1"/>
  <c r="I92" i="1"/>
  <c r="G92" i="1"/>
  <c r="I91" i="1"/>
  <c r="G91" i="1"/>
  <c r="I90" i="1"/>
  <c r="G90" i="1"/>
  <c r="I89" i="1"/>
  <c r="G89" i="1"/>
  <c r="I88" i="1"/>
  <c r="G88" i="1"/>
  <c r="I87" i="1"/>
  <c r="G87" i="1"/>
  <c r="I86" i="1"/>
  <c r="G86" i="1"/>
  <c r="I85" i="1"/>
  <c r="G85" i="1"/>
  <c r="I84" i="1"/>
  <c r="G84" i="1"/>
  <c r="I83" i="1"/>
  <c r="G83" i="1"/>
  <c r="I82" i="1"/>
  <c r="G82" i="1"/>
  <c r="I81" i="1"/>
  <c r="G81" i="1"/>
  <c r="I80" i="1"/>
  <c r="G80" i="1"/>
  <c r="I79" i="1"/>
  <c r="G79" i="1"/>
  <c r="I78" i="1"/>
  <c r="G78" i="1"/>
  <c r="I77" i="1"/>
  <c r="G77" i="1"/>
  <c r="I76" i="1"/>
  <c r="G76" i="1"/>
  <c r="I75" i="1"/>
  <c r="G75" i="1"/>
  <c r="I74" i="1"/>
  <c r="G74" i="1"/>
  <c r="I73" i="1"/>
  <c r="G73" i="1"/>
  <c r="I72" i="1"/>
  <c r="G72" i="1"/>
  <c r="I71" i="1"/>
  <c r="G71" i="1"/>
  <c r="I70" i="1"/>
  <c r="G70" i="1"/>
  <c r="I69" i="1"/>
  <c r="G69" i="1"/>
  <c r="I68" i="1"/>
  <c r="G68" i="1"/>
  <c r="I67" i="1"/>
  <c r="G67" i="1"/>
  <c r="I66" i="1"/>
  <c r="G66" i="1"/>
  <c r="I65" i="1"/>
  <c r="G65" i="1"/>
  <c r="I64" i="1"/>
  <c r="G64" i="1"/>
  <c r="I63" i="1"/>
  <c r="G63" i="1"/>
  <c r="I62" i="1"/>
  <c r="G62" i="1"/>
  <c r="I61" i="1"/>
  <c r="G61" i="1"/>
  <c r="I60" i="1"/>
  <c r="G60" i="1"/>
  <c r="I59" i="1"/>
  <c r="G59" i="1"/>
  <c r="I58" i="1"/>
  <c r="G58" i="1"/>
  <c r="I57" i="1"/>
  <c r="G57" i="1"/>
  <c r="I56" i="1"/>
  <c r="G56" i="1"/>
  <c r="I55" i="1"/>
  <c r="G55" i="1"/>
  <c r="I54" i="1"/>
  <c r="G54" i="1"/>
  <c r="I53" i="1"/>
  <c r="G53" i="1"/>
  <c r="I52" i="1"/>
  <c r="G52" i="1"/>
  <c r="I51" i="1"/>
  <c r="G51" i="1"/>
  <c r="I50" i="1"/>
  <c r="G50" i="1"/>
  <c r="I49" i="1"/>
  <c r="G49" i="1"/>
  <c r="I48" i="1"/>
  <c r="G48" i="1"/>
  <c r="I47" i="1"/>
  <c r="G47" i="1"/>
  <c r="I46" i="1"/>
  <c r="G46" i="1"/>
  <c r="I45" i="1"/>
  <c r="G45" i="1"/>
  <c r="I44" i="1"/>
  <c r="G44" i="1"/>
  <c r="I43" i="1"/>
  <c r="G43" i="1"/>
  <c r="I42" i="1"/>
  <c r="G42" i="1"/>
  <c r="I41" i="1"/>
  <c r="G41" i="1"/>
  <c r="I40" i="1"/>
  <c r="G40" i="1"/>
  <c r="C40" i="1"/>
  <c r="B40" i="1"/>
  <c r="I39" i="1"/>
  <c r="G39" i="1"/>
  <c r="I38" i="1"/>
  <c r="G38" i="1"/>
  <c r="I37" i="1"/>
  <c r="G37" i="1"/>
  <c r="I36" i="1"/>
  <c r="G36" i="1"/>
  <c r="I35" i="1"/>
  <c r="G35" i="1"/>
  <c r="I34" i="1"/>
  <c r="G34" i="1"/>
  <c r="I33" i="1"/>
  <c r="G33" i="1"/>
  <c r="I32" i="1"/>
  <c r="G32" i="1"/>
  <c r="I31" i="1"/>
  <c r="G31" i="1"/>
  <c r="I30" i="1"/>
  <c r="G30" i="1"/>
  <c r="I29" i="1"/>
  <c r="G29" i="1"/>
  <c r="I28" i="1"/>
  <c r="G28" i="1"/>
  <c r="I27" i="1"/>
  <c r="G27" i="1"/>
  <c r="I26" i="1"/>
  <c r="G26" i="1"/>
  <c r="I25" i="1"/>
  <c r="G25" i="1"/>
  <c r="I24" i="1"/>
  <c r="G24" i="1"/>
  <c r="I23" i="1"/>
  <c r="G23" i="1"/>
  <c r="I22" i="1"/>
  <c r="G22" i="1"/>
  <c r="I21" i="1"/>
  <c r="G21" i="1"/>
  <c r="I20" i="1"/>
  <c r="G20" i="1"/>
  <c r="I19" i="1"/>
  <c r="G19" i="1"/>
  <c r="I18" i="1"/>
  <c r="G18" i="1"/>
  <c r="I17" i="1"/>
  <c r="G17" i="1"/>
  <c r="I16" i="1"/>
  <c r="G16" i="1"/>
  <c r="I15" i="1"/>
  <c r="G15" i="1"/>
  <c r="I14" i="1"/>
  <c r="G14" i="1"/>
  <c r="I13" i="1"/>
  <c r="G13" i="1"/>
  <c r="I12" i="1"/>
  <c r="G12" i="1"/>
  <c r="I11" i="1"/>
  <c r="G11" i="1"/>
  <c r="I10" i="1"/>
  <c r="G10" i="1"/>
  <c r="I9" i="1"/>
  <c r="G9" i="1"/>
  <c r="I8" i="1"/>
  <c r="G8" i="1"/>
  <c r="I7" i="1"/>
  <c r="G7" i="1"/>
  <c r="I6" i="1"/>
  <c r="G6" i="1"/>
  <c r="I5" i="1"/>
  <c r="G5" i="1"/>
  <c r="I4" i="1"/>
  <c r="G4" i="1"/>
  <c r="I3" i="1"/>
  <c r="G3" i="1"/>
  <c r="I2" i="1"/>
  <c r="G2" i="1"/>
  <c r="E108" i="1"/>
  <c r="E87" i="1"/>
  <c r="H55" i="1"/>
  <c r="H98" i="1"/>
  <c r="F98" i="1"/>
  <c r="H105" i="1"/>
  <c r="F105" i="1"/>
  <c r="H93" i="1"/>
  <c r="F93" i="1"/>
  <c r="H85" i="1"/>
  <c r="H108" i="1"/>
  <c r="F108" i="1"/>
  <c r="H88" i="1"/>
  <c r="H47" i="1"/>
  <c r="F47" i="1"/>
  <c r="H52" i="1"/>
  <c r="F52" i="1"/>
  <c r="F88" i="1"/>
  <c r="F109" i="1"/>
  <c r="H109" i="1"/>
  <c r="H48" i="1"/>
  <c r="F48" i="1"/>
  <c r="E109" i="1"/>
  <c r="E88" i="1"/>
  <c r="H101" i="1"/>
  <c r="F101" i="1"/>
  <c r="E116" i="1"/>
  <c r="E95" i="1"/>
  <c r="F87" i="1"/>
  <c r="H87" i="1"/>
  <c r="H54" i="1"/>
  <c r="F54" i="1"/>
  <c r="F77" i="1"/>
  <c r="H77" i="1"/>
  <c r="H83" i="1"/>
  <c r="H45" i="1"/>
  <c r="F45" i="1"/>
  <c r="E104" i="1"/>
  <c r="E83" i="1"/>
  <c r="H110" i="1"/>
  <c r="F110" i="1"/>
  <c r="H44" i="1"/>
  <c r="F44" i="1"/>
  <c r="H43" i="1"/>
  <c r="F43" i="1"/>
  <c r="F56" i="1"/>
  <c r="H56" i="1"/>
  <c r="F83" i="1"/>
  <c r="F104" i="1"/>
  <c r="H104" i="1"/>
  <c r="H91" i="1"/>
  <c r="F91" i="1"/>
  <c r="H57" i="1"/>
  <c r="H95" i="1"/>
  <c r="F95" i="1"/>
  <c r="F116" i="1"/>
  <c r="H49" i="1"/>
  <c r="F49" i="1"/>
  <c r="H94" i="1"/>
  <c r="F94" i="1"/>
  <c r="H100" i="1"/>
  <c r="F100" i="1"/>
  <c r="H97" i="1"/>
  <c r="F97" i="1"/>
  <c r="H86" i="1"/>
  <c r="H60" i="1"/>
  <c r="F60" i="1"/>
  <c r="H42" i="1"/>
  <c r="F42" i="1"/>
  <c r="H111" i="1"/>
  <c r="F111" i="1"/>
  <c r="F89" i="1"/>
  <c r="H89" i="1"/>
  <c r="H53" i="1"/>
  <c r="F53" i="1"/>
  <c r="E100" i="1"/>
  <c r="E79" i="1"/>
  <c r="E58" i="1"/>
  <c r="F86" i="1"/>
  <c r="F107" i="1"/>
  <c r="H107" i="1"/>
  <c r="H96" i="1"/>
  <c r="F96" i="1"/>
  <c r="F85" i="1"/>
  <c r="F106" i="1"/>
  <c r="H106" i="1"/>
  <c r="F90" i="1"/>
  <c r="H90" i="1"/>
  <c r="H51" i="1"/>
  <c r="F51" i="1"/>
  <c r="H92" i="1"/>
  <c r="F92" i="1"/>
  <c r="E45" i="1"/>
  <c r="E49" i="1"/>
  <c r="E48" i="1"/>
  <c r="E52" i="1"/>
  <c r="E47" i="1"/>
  <c r="E51" i="1"/>
  <c r="E50" i="1"/>
  <c r="E31" i="1"/>
  <c r="E46" i="1"/>
  <c r="E107" i="1"/>
  <c r="E86" i="1"/>
  <c r="E110" i="1"/>
  <c r="E89" i="1"/>
  <c r="H99" i="1"/>
  <c r="F99" i="1"/>
  <c r="H76" i="1"/>
  <c r="E101" i="1"/>
  <c r="E82" i="1"/>
  <c r="E102" i="1"/>
  <c r="H58" i="1"/>
  <c r="F58" i="1"/>
  <c r="F79" i="1"/>
  <c r="H79" i="1"/>
  <c r="H59" i="1"/>
  <c r="F59" i="1"/>
  <c r="H46" i="1"/>
  <c r="F46" i="1"/>
  <c r="E43" i="1"/>
  <c r="E42" i="1"/>
  <c r="E44" i="1"/>
  <c r="E114" i="1"/>
  <c r="F57" i="1"/>
  <c r="F78" i="1"/>
  <c r="H78" i="1"/>
  <c r="E105" i="1"/>
  <c r="E85" i="1"/>
  <c r="E106" i="1"/>
  <c r="E57" i="1"/>
  <c r="E78" i="1"/>
  <c r="E99" i="1"/>
  <c r="H50" i="1"/>
  <c r="F50" i="1"/>
  <c r="E56" i="1"/>
  <c r="E77" i="1"/>
  <c r="E98" i="1"/>
  <c r="H41" i="1"/>
  <c r="E54" i="1"/>
  <c r="E60" i="1"/>
  <c r="E59" i="1"/>
  <c r="E53" i="1"/>
  <c r="H82" i="1"/>
  <c r="F41" i="1"/>
  <c r="F55" i="1"/>
  <c r="F76" i="1"/>
  <c r="F82" i="1"/>
  <c r="F102" i="1"/>
  <c r="H102" i="1"/>
  <c r="E97" i="1"/>
  <c r="E96" i="1"/>
  <c r="E91" i="1"/>
  <c r="E93" i="1"/>
  <c r="E94" i="1"/>
  <c r="E92" i="1"/>
  <c r="F115" i="1"/>
  <c r="H23" i="1"/>
  <c r="E23" i="1"/>
  <c r="E41" i="1"/>
  <c r="E55" i="1"/>
  <c r="E76" i="1"/>
  <c r="E90" i="1"/>
  <c r="E111" i="1"/>
  <c r="F23" i="1"/>
  <c r="F31" i="1"/>
  <c r="H31" i="1"/>
</calcChain>
</file>

<file path=xl/sharedStrings.xml><?xml version="1.0" encoding="utf-8"?>
<sst xmlns="http://schemas.openxmlformats.org/spreadsheetml/2006/main" count="184" uniqueCount="143">
  <si>
    <t>Product</t>
  </si>
  <si>
    <t>Current price</t>
  </si>
  <si>
    <t>old price</t>
  </si>
  <si>
    <t>Discount</t>
  </si>
  <si>
    <t>Review</t>
  </si>
  <si>
    <t>115  Piece Set Of Multifunctional Precision Screwdrivers</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</si>
  <si>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</si>
  <si>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</si>
  <si>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</si>
  <si>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</si>
  <si>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</si>
  <si>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</si>
  <si>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</si>
  <si>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</si>
  <si>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</si>
  <si>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</si>
  <si>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Peacock  Throw Pillow Cushion Case For Home Car</t>
  </si>
  <si>
    <t>LED Wall Digital Alarm Clock Study Home 12 / 24H Clock Calendar</t>
  </si>
  <si>
    <t>3D Waterproof EVA Plastic Shower Curtain 1.8*2Mtrs</t>
  </si>
  <si>
    <t>3PCS Single Head Knitting Crochet Sweater Needle Set</t>
  </si>
  <si>
    <t>4pcs Bathroom/Kitchen Towel Rack,Roll Paper Holder,Towel Bars,Hook</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</si>
  <si>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</si>
  <si>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</si>
  <si>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</si>
  <si>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</si>
  <si>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</si>
  <si>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</si>
  <si>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12 Litre Insulated Lunch Box Grey</t>
  </si>
  <si>
    <t>DIY File Folder, Office Drawer File Holder, Pen Holder, Desktop Storage Rack</t>
  </si>
  <si>
    <t>Classic Black Cat Cotton Hemp Pillow Case For Home Car</t>
  </si>
  <si>
    <t>Balloon Insert, Birthday Party Balloon Set, PU Leather</t>
  </si>
  <si>
    <t>Shower Cap Wide Elastic Band Cover Reusable Bashroom Cap</t>
  </si>
  <si>
    <t>Christmas Elk Fence Yard Lawn Decorations Cute For Holidays</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</si>
  <si>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</si>
  <si>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</si>
  <si>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</si>
  <si>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</si>
  <si>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</si>
  <si>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</si>
  <si>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Cute Christmas Fence Garden Decorations For Holiday Home</t>
  </si>
  <si>
    <t>Simple Metal Dog Art Sculpture Decoration For Home Office</t>
  </si>
  <si>
    <t>Christmas Fence Garden Decorations Outdoor For Holiday Home</t>
  </si>
  <si>
    <t>Angle Measuring Tool Full Metal Multi Angle Measuring Tool</t>
  </si>
  <si>
    <t>5 Pieces/set Of Stainless Steel Induction Cooker Pots</t>
  </si>
  <si>
    <t>Mythco 120COB Solar Wall Ligt With Motion Sensor And Remote Control 3 Modes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</si>
  <si>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</si>
  <si>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</si>
  <si>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</si>
  <si>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</si>
  <si>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</si>
  <si>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Agapeon Toothbrush Holder And Toothpaste Dispenser</t>
  </si>
  <si>
    <t>Large Lazy Inflatable Sofa Chairs PVC Lounger Seat Bag</t>
  </si>
  <si>
    <t>Watercolour Gold Foil Textured Print Pillow Cover</t>
  </si>
  <si>
    <t>Wrought Iron Bathroom Shelf Wall Mounted Free Punch Toilet Rack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</si>
  <si>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</si>
  <si>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</si>
  <si>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</si>
  <si>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</si>
  <si>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</si>
  <si>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</si>
  <si>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</si>
  <si>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</si>
  <si>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</si>
  <si>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</si>
  <si>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</si>
  <si>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</si>
  <si>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</si>
  <si>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</si>
  <si>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</si>
  <si>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</si>
  <si>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</si>
  <si>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</si>
  <si>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</si>
  <si>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</si>
  <si>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9pcs Gas Mask, For Painting, Dust, Formaldehyde Grinding, Polishing</t>
  </si>
  <si>
    <t>1PC Refrigerator Food Seal Pocket Fridge Bags</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</si>
  <si>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</si>
  <si>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</si>
  <si>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</si>
  <si>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</si>
  <si>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Ratings</t>
  </si>
  <si>
    <t>Metal Decorative Hooks Key Hangers Entryway Wall Hooks Towel Hooks  Home</t>
  </si>
  <si>
    <t>Portable Mini Cordless Car Vacuum Cleaner  Blue</t>
  </si>
  <si>
    <t>Weighing Scale Digital Bathroom Body Fat Scale USBBlack</t>
  </si>
  <si>
    <t>Portable Home Small Air Humidifier 3Speed Fan  Green</t>
  </si>
  <si>
    <t>AntiSkid Absorbent Insulation Coaster  For Home Office</t>
  </si>
  <si>
    <t>LASA Aluminum Folding Truck Hand Cart  68kg Max</t>
  </si>
  <si>
    <t>LED Romantic Spaceship Starry Sky Projector,Children's Bedroom Night LightBlue</t>
  </si>
  <si>
    <t>MultiFunctional Storage Rack Multilayer Booelf</t>
  </si>
  <si>
    <t>Exfoliate And Exfoliate Face Towel  Black</t>
  </si>
  <si>
    <t>LED Eye Protection  Desk Lamp , Study, Reading, USB Fan  Double Pen Holder</t>
  </si>
  <si>
    <t>53Pcs/Set Yarn Knitting Crochet Hooks With Bag  Fortune Cat</t>
  </si>
  <si>
    <t>53 Pieces/Set Yarn Knitting Crochet Hooks With Bag  Pansies</t>
  </si>
  <si>
    <t>Punchfree Great Load Bearing Bathroom Storage Rack Wall ShelfWhite</t>
  </si>
  <si>
    <t>1/2/3 Seater Elastic Sofa Cover,Living Room/Home Decor Chair CoverGrey</t>
  </si>
  <si>
    <t>LASA Stainless Steel Double Wall Mount Soap Dispenser  500ml</t>
  </si>
  <si>
    <t>4M Float Switch Water Level Controller Water Tank</t>
  </si>
  <si>
    <t>Modern Sofa Throw Pillow Cover45x45cmBlue&amp;Red</t>
  </si>
  <si>
    <t>60W Hot Melt Glue Sprayer  Efficient And Stable Glue Dispensing</t>
  </si>
  <si>
    <t>Multipurpose Rice Drainage Basket And Fruit And Vegetable Drainage Sieve</t>
  </si>
  <si>
    <t>12V 19500rpm Handheld Electric Angle Grinder Tool  UK  Yellow/Black</t>
  </si>
  <si>
    <t>5PCS Stainless Steel Cooking Pot Set With Steamed Slices</t>
  </si>
  <si>
    <t>32PCS Portable Cordless Drill Set With Cyclic Battery Drive 26 Variable Speed</t>
  </si>
  <si>
    <t>7piece Set Of Storage Bags, Travel Storage Bags, Shoe Bags</t>
  </si>
  <si>
    <t>Electric LED UV Mosquito Killer Lamp, Outdoor/Indoor Fly Killer Trap Light USB</t>
  </si>
  <si>
    <t>Memory Foam Neck Pillow Cover, With Pillow Core  50*30cm</t>
  </si>
  <si>
    <t>Bedroom Simple Floor Hanging Clothes Rack Single Pole Hat Rack  White</t>
  </si>
  <si>
    <t>Outdoor Portable Water Bottle With Medicine Box  600ML  Black</t>
  </si>
  <si>
    <t>WallMounted Toothbrush Toothpaste Holder With Multiple Slots</t>
  </si>
  <si>
    <t>2PCS Ice Silk Square Cushion Cover Pillowcases  65x65cm</t>
  </si>
  <si>
    <t>Konka Healty Electric Kettle, 24hour Heat Preservation,1.5L,800W, White</t>
  </si>
  <si>
    <t>24 Grid Wallmounted Sundries Organiser Fabric Closet Bag Storage Rack</t>
  </si>
  <si>
    <t>LED Solar Street Lightfake Camera</t>
  </si>
  <si>
    <t>Wallmounted Sticker Punchfree Plug Fixer</t>
  </si>
  <si>
    <t xml:space="preserve"> 2,200   3,200</t>
  </si>
  <si>
    <t>1620 1980</t>
  </si>
  <si>
    <t>Average</t>
  </si>
  <si>
    <t>Black Simple Water Cup Wine Coaster Anti Slip Absorbent(Duplicate product)</t>
  </si>
  <si>
    <t>3 duplicate values found and removed, 111 unique values remain</t>
  </si>
  <si>
    <t>Current and Old price for product in A40 was obtained by calculating the mean of the the 2 values initially on the cell</t>
  </si>
  <si>
    <t>Absolute Discount</t>
  </si>
  <si>
    <t>Rating Category</t>
  </si>
  <si>
    <t>Discount Category</t>
  </si>
  <si>
    <t>Most Expensive Product (32PCS Portable Cordless Drill Set With Cyclic Battery Drive 26 Variable Speed)</t>
  </si>
  <si>
    <t>Least Expensive Product(3PCS Single Head Knitting Crochet Sweater Needle Set)</t>
  </si>
  <si>
    <t>Row Labels</t>
  </si>
  <si>
    <t>Grand Total</t>
  </si>
  <si>
    <t>Average of Discount</t>
  </si>
  <si>
    <t>Average of Ratings</t>
  </si>
  <si>
    <t>Average of Review</t>
  </si>
  <si>
    <t>Count of Review</t>
  </si>
  <si>
    <t>Count of Product</t>
  </si>
  <si>
    <t>Top 10 Reviewed Product</t>
  </si>
  <si>
    <t>Top 10 Rated Products</t>
  </si>
  <si>
    <t>Top 10 Discounted Products</t>
  </si>
  <si>
    <t>Insights</t>
  </si>
  <si>
    <t>Products with large discounts but low ratings may indicate:</t>
  </si>
  <si>
    <t>Poor product quality</t>
  </si>
  <si>
    <t>Customer dissatisfaction</t>
  </si>
  <si>
    <t>Inventory clearance efforts</t>
  </si>
  <si>
    <t>Older or discontinued products</t>
  </si>
  <si>
    <t>Attempts to boost sales of underperforming products</t>
  </si>
  <si>
    <t>Products receiving negative reviews despite attractive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</si>
</sst>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color theme="6"/>
      <name val="Aptos Narrow"/>
      <family val="2"/>
      <scheme val="minor"/>
    </font>
    <font>
      <sz val="11"/>
      <color theme="6"/>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0" fontId="16" fillId="0" borderId="0" xfId="0" applyFont="1"/>
    <xf numFmtId="0" fontId="19" fillId="0" borderId="0" xfId="0" applyFont="1"/>
    <xf numFmtId="0" fontId="20" fillId="0" borderId="0" xfId="0" applyFont="1"/>
    <xf numFmtId="1" fontId="20" fillId="0" borderId="0" xfId="0" applyNumberFormat="1" applyFont="1"/>
    <xf numFmtId="9" fontId="20" fillId="0" borderId="0" xfId="0" applyNumberFormat="1" applyFont="1"/>
    <xf numFmtId="164" fontId="20"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clean_dataset.xlsx]discount percentage&amp;reviews!PivotTable32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percentage&amp;reviews'!$B$3</c:f>
              <c:strCache>
                <c:ptCount val="1"/>
                <c:pt idx="0">
                  <c:v>Total</c:v>
                </c:pt>
              </c:strCache>
            </c:strRef>
          </c:tx>
          <c:spPr>
            <a:solidFill>
              <a:schemeClr val="accent1"/>
            </a:solidFill>
            <a:ln>
              <a:noFill/>
            </a:ln>
            <a:effectLst/>
          </c:spPr>
          <c:invertIfNegative val="0"/>
          <c:cat>
            <c:strRef>
              <c:f>'discount percentage&amp;reviews'!$A$4</c:f>
              <c:strCache>
                <c:ptCount val="1"/>
                <c:pt idx="0">
                  <c:v>Grand Total</c:v>
                </c:pt>
              </c:strCache>
            </c:strRef>
          </c:cat>
          <c:val>
            <c:numRef>
              <c:f>'discount percentage&amp;reviews'!$B$4</c:f>
              <c:numCache>
                <c:formatCode>General</c:formatCode>
                <c:ptCount val="1"/>
              </c:numCache>
            </c:numRef>
          </c:val>
          <c:extLst>
            <c:ext xmlns:c16="http://schemas.microsoft.com/office/drawing/2014/chart" uri="{C3380CC4-5D6E-409C-BE32-E72D297353CC}">
              <c16:uniqueId val="{00000000-0892-4069-A175-F6725518C314}"/>
            </c:ext>
          </c:extLst>
        </c:ser>
        <c:dLbls>
          <c:showLegendKey val="0"/>
          <c:showVal val="0"/>
          <c:showCatName val="0"/>
          <c:showSerName val="0"/>
          <c:showPercent val="0"/>
          <c:showBubbleSize val="0"/>
        </c:dLbls>
        <c:gapWidth val="219"/>
        <c:overlap val="-27"/>
        <c:axId val="141166735"/>
        <c:axId val="141168175"/>
      </c:barChart>
      <c:catAx>
        <c:axId val="1411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8175"/>
        <c:crosses val="autoZero"/>
        <c:auto val="1"/>
        <c:lblAlgn val="ctr"/>
        <c:lblOffset val="100"/>
        <c:noMultiLvlLbl val="0"/>
      </c:catAx>
      <c:valAx>
        <c:axId val="1411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clean_dataset.xlsx]rating&amp;reviews!PivotTable33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'rating&amp;reviews'!$B$3</c:f>
              <c:strCache>
                <c:ptCount val="1"/>
                <c:pt idx="0">
                  <c:v>Total</c:v>
                </c:pt>
              </c:strCache>
            </c:strRef>
          </c:tx>
          <c:spPr>
            <a:solidFill>
              <a:schemeClr val="accent1"/>
            </a:solidFill>
            <a:ln>
              <a:noFill/>
            </a:ln>
            <a:effectLst/>
          </c:spPr>
          <c:invertIfNegative val="0"/>
          <c:cat>
            <c:strRef>
              <c:f>'rating&amp;reviews'!$A$4</c:f>
              <c:strCache>
                <c:ptCount val="1"/>
                <c:pt idx="0">
                  <c:v>Grand Total</c:v>
                </c:pt>
              </c:strCache>
            </c:strRef>
          </c:cat>
          <c:val>
            <c:numRef>
              <c:f>'rating&amp;reviews'!$B$4</c:f>
              <c:numCache>
                <c:formatCode>General</c:formatCode>
                <c:ptCount val="1"/>
              </c:numCache>
            </c:numRef>
          </c:val>
          <c:extLst>
            <c:ext xmlns:c16="http://schemas.microsoft.com/office/drawing/2014/chart" uri="{C3380CC4-5D6E-409C-BE32-E72D297353CC}">
              <c16:uniqueId val="{00000000-6209-48F8-BBA7-9372EE3CB1D0}"/>
            </c:ext>
          </c:extLst>
        </c:ser>
        <c:dLbls>
          <c:showLegendKey val="0"/>
          <c:showVal val="0"/>
          <c:showCatName val="0"/>
          <c:showSerName val="0"/>
          <c:showPercent val="0"/>
          <c:showBubbleSize val="0"/>
        </c:dLbls>
        <c:gapWidth val="219"/>
        <c:overlap val="-27"/>
        <c:axId val="2134652511"/>
        <c:axId val="2134651551"/>
      </c:barChart>
      <c:catAx>
        <c:axId val="213465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51551"/>
        <c:crosses val="autoZero"/>
        <c:auto val="1"/>
        <c:lblAlgn val="ctr"/>
        <c:lblOffset val="100"/>
        <c:noMultiLvlLbl val="0"/>
      </c:catAx>
      <c:valAx>
        <c:axId val="213465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5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 clean_dataset.xlsx]performance comparison!PivotTable38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of Product with High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comparison'!$B$3</c:f>
              <c:strCache>
                <c:ptCount val="1"/>
                <c:pt idx="0">
                  <c:v>Count of Review</c:v>
                </c:pt>
              </c:strCache>
            </c:strRef>
          </c:tx>
          <c:spPr>
            <a:solidFill>
              <a:schemeClr val="accent6">
                <a:tint val="77000"/>
              </a:schemeClr>
            </a:solidFill>
            <a:ln>
              <a:noFill/>
            </a:ln>
            <a:effectLst/>
          </c:spPr>
          <c:invertIfNegative val="0"/>
          <c:cat>
            <c:strRef>
              <c:f>'performance comparison'!$A$4</c:f>
              <c:strCache>
                <c:ptCount val="1"/>
                <c:pt idx="0">
                  <c:v>Grand Total</c:v>
                </c:pt>
              </c:strCache>
            </c:strRef>
          </c:cat>
          <c:val>
            <c:numRef>
              <c:f>'performance comparison'!$B$4</c:f>
              <c:numCache>
                <c:formatCode>General</c:formatCode>
                <c:ptCount val="1"/>
              </c:numCache>
            </c:numRef>
          </c:val>
          <c:extLst>
            <c:ext xmlns:c16="http://schemas.microsoft.com/office/drawing/2014/chart" uri="{C3380CC4-5D6E-409C-BE32-E72D297353CC}">
              <c16:uniqueId val="{00000000-2F75-4498-9CD1-06E893ACF4CC}"/>
            </c:ext>
          </c:extLst>
        </c:ser>
        <c:ser>
          <c:idx val="1"/>
          <c:order val="1"/>
          <c:tx>
            <c:strRef>
              <c:f>'performance comparison'!$C$3</c:f>
              <c:strCache>
                <c:ptCount val="1"/>
                <c:pt idx="0">
                  <c:v>Average of Ratings</c:v>
                </c:pt>
              </c:strCache>
            </c:strRef>
          </c:tx>
          <c:spPr>
            <a:solidFill>
              <a:schemeClr val="accent6">
                <a:shade val="76000"/>
              </a:schemeClr>
            </a:solidFill>
            <a:ln>
              <a:noFill/>
            </a:ln>
            <a:effectLst/>
          </c:spPr>
          <c:invertIfNegative val="0"/>
          <c:cat>
            <c:strRef>
              <c:f>'performance comparison'!$A$4</c:f>
              <c:strCache>
                <c:ptCount val="1"/>
                <c:pt idx="0">
                  <c:v>Grand Total</c:v>
                </c:pt>
              </c:strCache>
            </c:strRef>
          </c:cat>
          <c:val>
            <c:numRef>
              <c:f>'performance comparison'!$C$4</c:f>
              <c:numCache>
                <c:formatCode>0.0</c:formatCode>
                <c:ptCount val="1"/>
              </c:numCache>
            </c:numRef>
          </c:val>
          <c:extLst>
            <c:ext xmlns:c16="http://schemas.microsoft.com/office/drawing/2014/chart" uri="{C3380CC4-5D6E-409C-BE32-E72D297353CC}">
              <c16:uniqueId val="{00000001-2F75-4498-9CD1-06E893ACF4CC}"/>
            </c:ext>
          </c:extLst>
        </c:ser>
        <c:dLbls>
          <c:showLegendKey val="0"/>
          <c:showVal val="0"/>
          <c:showCatName val="0"/>
          <c:showSerName val="0"/>
          <c:showPercent val="0"/>
          <c:showBubbleSize val="0"/>
        </c:dLbls>
        <c:gapWidth val="219"/>
        <c:overlap val="-27"/>
        <c:axId val="2140253919"/>
        <c:axId val="2140254399"/>
      </c:barChart>
      <c:catAx>
        <c:axId val="214025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254399"/>
        <c:crosses val="autoZero"/>
        <c:auto val="1"/>
        <c:lblAlgn val="ctr"/>
        <c:lblOffset val="100"/>
        <c:noMultiLvlLbl val="0"/>
      </c:catAx>
      <c:valAx>
        <c:axId val="214025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25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 clean_dataset.xlsx]rating category breakdown!PivotTable39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Category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s>
    <c:plotArea>
      <c:layout/>
      <c:doughnutChart>
        <c:varyColors val="1"/>
        <c:ser>
          <c:idx val="0"/>
          <c:order val="0"/>
          <c:tx>
            <c:strRef>
              <c:f>'rating category breakdown'!$B$3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1C5-4D1B-9A35-6B012A5BE678}"/>
              </c:ext>
            </c:extLst>
          </c:dPt>
          <c:cat>
            <c:strRef>
              <c:f>'rating category breakdown'!$A$4</c:f>
              <c:strCache>
                <c:ptCount val="1"/>
                <c:pt idx="0">
                  <c:v>Grand Total</c:v>
                </c:pt>
              </c:strCache>
            </c:strRef>
          </c:cat>
          <c:val>
            <c:numRef>
              <c:f>'rating category breakdown'!$B$4</c:f>
              <c:numCache>
                <c:formatCode>General</c:formatCode>
                <c:ptCount val="1"/>
              </c:numCache>
            </c:numRef>
          </c:val>
          <c:extLst>
            <c:ext xmlns:c16="http://schemas.microsoft.com/office/drawing/2014/chart" uri="{C3380CC4-5D6E-409C-BE32-E72D297353CC}">
              <c16:uniqueId val="{00000000-BAAA-4571-8DD9-1492F2028A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 clean_dataset.xlsx]rating category breakdown!PivotTable39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Category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 category breakdown'!$B$3</c:f>
              <c:strCache>
                <c:ptCount val="1"/>
                <c:pt idx="0">
                  <c:v>Total</c:v>
                </c:pt>
              </c:strCache>
            </c:strRef>
          </c:tx>
          <c:spPr>
            <a:solidFill>
              <a:schemeClr val="accent6"/>
            </a:solidFill>
            <a:ln>
              <a:noFill/>
            </a:ln>
            <a:effectLst/>
          </c:spPr>
          <c:invertIfNegative val="0"/>
          <c:cat>
            <c:strRef>
              <c:f>'rating category breakdown'!$A$4</c:f>
              <c:strCache>
                <c:ptCount val="1"/>
                <c:pt idx="0">
                  <c:v>Grand Total</c:v>
                </c:pt>
              </c:strCache>
            </c:strRef>
          </c:cat>
          <c:val>
            <c:numRef>
              <c:f>'rating category breakdown'!$B$4</c:f>
              <c:numCache>
                <c:formatCode>General</c:formatCode>
                <c:ptCount val="1"/>
              </c:numCache>
            </c:numRef>
          </c:val>
          <c:extLst>
            <c:ext xmlns:c16="http://schemas.microsoft.com/office/drawing/2014/chart" uri="{C3380CC4-5D6E-409C-BE32-E72D297353CC}">
              <c16:uniqueId val="{00000000-51E3-4548-8558-F750CCDC94E9}"/>
            </c:ext>
          </c:extLst>
        </c:ser>
        <c:dLbls>
          <c:showLegendKey val="0"/>
          <c:showVal val="0"/>
          <c:showCatName val="0"/>
          <c:showSerName val="0"/>
          <c:showPercent val="0"/>
          <c:showBubbleSize val="0"/>
        </c:dLbls>
        <c:gapWidth val="182"/>
        <c:axId val="2133010927"/>
        <c:axId val="2133009967"/>
      </c:barChart>
      <c:catAx>
        <c:axId val="213301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09967"/>
        <c:crosses val="autoZero"/>
        <c:auto val="1"/>
        <c:lblAlgn val="ctr"/>
        <c:lblOffset val="100"/>
        <c:noMultiLvlLbl val="0"/>
      </c:catAx>
      <c:valAx>
        <c:axId val="213300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1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 clean_dataset.xlsx]discount category breakdown!PivotTable40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s>
    <c:plotArea>
      <c:layout/>
      <c:doughnutChart>
        <c:varyColors val="1"/>
        <c:ser>
          <c:idx val="0"/>
          <c:order val="0"/>
          <c:tx>
            <c:strRef>
              <c:f>'discount category breakdown'!$B$3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C3F-456E-9A29-23A4F5A9A4A3}"/>
              </c:ext>
            </c:extLst>
          </c:dPt>
          <c:cat>
            <c:strRef>
              <c:f>'discount category breakdown'!$A$4</c:f>
              <c:strCache>
                <c:ptCount val="1"/>
                <c:pt idx="0">
                  <c:v>Grand Total</c:v>
                </c:pt>
              </c:strCache>
            </c:strRef>
          </c:cat>
          <c:val>
            <c:numRef>
              <c:f>'discount category breakdown'!$B$4</c:f>
              <c:numCache>
                <c:formatCode>General</c:formatCode>
                <c:ptCount val="1"/>
              </c:numCache>
            </c:numRef>
          </c:val>
          <c:extLst>
            <c:ext xmlns:c16="http://schemas.microsoft.com/office/drawing/2014/chart" uri="{C3380CC4-5D6E-409C-BE32-E72D297353CC}">
              <c16:uniqueId val="{00000000-F706-4BB3-9CF6-D56EF3B1ED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 clean_dataset.xlsx]discount category breakdown!PivotTable40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category breakdown'!$B$3</c:f>
              <c:strCache>
                <c:ptCount val="1"/>
                <c:pt idx="0">
                  <c:v>Total</c:v>
                </c:pt>
              </c:strCache>
            </c:strRef>
          </c:tx>
          <c:spPr>
            <a:solidFill>
              <a:schemeClr val="accent6"/>
            </a:solidFill>
            <a:ln>
              <a:noFill/>
            </a:ln>
            <a:effectLst/>
          </c:spPr>
          <c:invertIfNegative val="0"/>
          <c:cat>
            <c:strRef>
              <c:f>'discount category breakdown'!$A$4</c:f>
              <c:strCache>
                <c:ptCount val="1"/>
                <c:pt idx="0">
                  <c:v>Grand Total</c:v>
                </c:pt>
              </c:strCache>
            </c:strRef>
          </c:cat>
          <c:val>
            <c:numRef>
              <c:f>'discount category breakdown'!$B$4</c:f>
              <c:numCache>
                <c:formatCode>General</c:formatCode>
                <c:ptCount val="1"/>
              </c:numCache>
            </c:numRef>
          </c:val>
          <c:extLst>
            <c:ext xmlns:c16="http://schemas.microsoft.com/office/drawing/2014/chart" uri="{C3380CC4-5D6E-409C-BE32-E72D297353CC}">
              <c16:uniqueId val="{00000000-92DC-4E7F-915D-0D8FF4EA460F}"/>
            </c:ext>
          </c:extLst>
        </c:ser>
        <c:dLbls>
          <c:showLegendKey val="0"/>
          <c:showVal val="0"/>
          <c:showCatName val="0"/>
          <c:showSerName val="0"/>
          <c:showPercent val="0"/>
          <c:showBubbleSize val="0"/>
        </c:dLbls>
        <c:gapWidth val="182"/>
        <c:axId val="210655327"/>
        <c:axId val="210652927"/>
      </c:barChart>
      <c:catAx>
        <c:axId val="21065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2927"/>
        <c:crosses val="autoZero"/>
        <c:auto val="1"/>
        <c:lblAlgn val="ctr"/>
        <c:lblOffset val="100"/>
        <c:noMultiLvlLbl val="0"/>
      </c:catAx>
      <c:valAx>
        <c:axId val="21065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336550</xdr:colOff>
      <xdr:row>2</xdr:row>
      <xdr:rowOff>44450</xdr:rowOff>
    </xdr:from>
    <xdr:to>
      <xdr:col>11</xdr:col>
      <xdr:colOff>31750</xdr:colOff>
      <xdr:row>17</xdr:row>
      <xdr:rowOff>25400</xdr:rowOff>
    </xdr:to>
    <xdr:graphicFrame macro="">
      <xdr:nvGraphicFramePr>
        <xdr:cNvPr id="2" name="Chart 1">
          <a:extLst>
            <a:ext uri="{FF2B5EF4-FFF2-40B4-BE49-F238E27FC236}">
              <a16:creationId xmlns:a16="http://schemas.microsoft.com/office/drawing/2014/main" id="{C192C552-0CBB-0873-A1D6-9EB8999F4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3</xdr:row>
      <xdr:rowOff>171450</xdr:rowOff>
    </xdr:from>
    <xdr:to>
      <xdr:col>10</xdr:col>
      <xdr:colOff>25400</xdr:colOff>
      <xdr:row>18</xdr:row>
      <xdr:rowOff>152400</xdr:rowOff>
    </xdr:to>
    <xdr:graphicFrame macro="">
      <xdr:nvGraphicFramePr>
        <xdr:cNvPr id="2" name="Chart 1">
          <a:extLst>
            <a:ext uri="{FF2B5EF4-FFF2-40B4-BE49-F238E27FC236}">
              <a16:creationId xmlns:a16="http://schemas.microsoft.com/office/drawing/2014/main" id="{E4FA463C-9DF8-B0F2-5B34-11DD228F6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3</xdr:row>
      <xdr:rowOff>6350</xdr:rowOff>
    </xdr:from>
    <xdr:to>
      <xdr:col>10</xdr:col>
      <xdr:colOff>400050</xdr:colOff>
      <xdr:row>17</xdr:row>
      <xdr:rowOff>171450</xdr:rowOff>
    </xdr:to>
    <xdr:graphicFrame macro="">
      <xdr:nvGraphicFramePr>
        <xdr:cNvPr id="2" name="Chart 1">
          <a:extLst>
            <a:ext uri="{FF2B5EF4-FFF2-40B4-BE49-F238E27FC236}">
              <a16:creationId xmlns:a16="http://schemas.microsoft.com/office/drawing/2014/main" id="{5ED5D47F-8A9C-C1B0-7B05-DA52385BA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2</xdr:row>
      <xdr:rowOff>31750</xdr:rowOff>
    </xdr:from>
    <xdr:to>
      <xdr:col>10</xdr:col>
      <xdr:colOff>419100</xdr:colOff>
      <xdr:row>17</xdr:row>
      <xdr:rowOff>12700</xdr:rowOff>
    </xdr:to>
    <xdr:graphicFrame macro="">
      <xdr:nvGraphicFramePr>
        <xdr:cNvPr id="2" name="Chart 1">
          <a:extLst>
            <a:ext uri="{FF2B5EF4-FFF2-40B4-BE49-F238E27FC236}">
              <a16:creationId xmlns:a16="http://schemas.microsoft.com/office/drawing/2014/main" id="{F43C706D-AB4D-ACBB-0230-DBF7A88A2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14</xdr:row>
      <xdr:rowOff>146050</xdr:rowOff>
    </xdr:from>
    <xdr:to>
      <xdr:col>11</xdr:col>
      <xdr:colOff>533400</xdr:colOff>
      <xdr:row>29</xdr:row>
      <xdr:rowOff>127000</xdr:rowOff>
    </xdr:to>
    <xdr:graphicFrame macro="">
      <xdr:nvGraphicFramePr>
        <xdr:cNvPr id="3" name="Chart 2">
          <a:extLst>
            <a:ext uri="{FF2B5EF4-FFF2-40B4-BE49-F238E27FC236}">
              <a16:creationId xmlns:a16="http://schemas.microsoft.com/office/drawing/2014/main" id="{24986F15-F970-3DE6-F853-8D633CFC1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57150</xdr:colOff>
      <xdr:row>0</xdr:row>
      <xdr:rowOff>57150</xdr:rowOff>
    </xdr:from>
    <xdr:to>
      <xdr:col>14</xdr:col>
      <xdr:colOff>361950</xdr:colOff>
      <xdr:row>15</xdr:row>
      <xdr:rowOff>38100</xdr:rowOff>
    </xdr:to>
    <xdr:graphicFrame macro="">
      <xdr:nvGraphicFramePr>
        <xdr:cNvPr id="2" name="Chart 1">
          <a:extLst>
            <a:ext uri="{FF2B5EF4-FFF2-40B4-BE49-F238E27FC236}">
              <a16:creationId xmlns:a16="http://schemas.microsoft.com/office/drawing/2014/main" id="{DFAA7013-EB0F-BF31-1316-CFACEDE7A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9</xdr:row>
      <xdr:rowOff>107950</xdr:rowOff>
    </xdr:from>
    <xdr:to>
      <xdr:col>11</xdr:col>
      <xdr:colOff>419100</xdr:colOff>
      <xdr:row>24</xdr:row>
      <xdr:rowOff>88900</xdr:rowOff>
    </xdr:to>
    <xdr:graphicFrame macro="">
      <xdr:nvGraphicFramePr>
        <xdr:cNvPr id="3" name="Chart 2">
          <a:extLst>
            <a:ext uri="{FF2B5EF4-FFF2-40B4-BE49-F238E27FC236}">
              <a16:creationId xmlns:a16="http://schemas.microsoft.com/office/drawing/2014/main" id="{929E01AF-5314-FBBE-B250-56F8B0094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184150</xdr:colOff>
      <xdr:row>0</xdr:row>
      <xdr:rowOff>114300</xdr:rowOff>
    </xdr:from>
    <xdr:to>
      <xdr:col>6</xdr:col>
      <xdr:colOff>184150</xdr:colOff>
      <xdr:row>14</xdr:row>
      <xdr:rowOff>155572</xdr:rowOff>
    </xdr:to>
    <mc:AlternateContent xmlns:mc="http://schemas.openxmlformats.org/markup-compatibility/2006" xmlns:a14="http://schemas.microsoft.com/office/drawing/2010/main">
      <mc:Choice Requires="a14">
        <xdr:graphicFrame macro="">
          <xdr:nvGraphicFramePr>
            <xdr:cNvPr id="4" name="Discount">
              <a:extLst>
                <a:ext uri="{FF2B5EF4-FFF2-40B4-BE49-F238E27FC236}">
                  <a16:creationId xmlns:a16="http://schemas.microsoft.com/office/drawing/2014/main" id="{0B293204-3B1F-0640-1C25-1756BA998269}"/>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2705100" y="11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254000</xdr:colOff>
      <xdr:row>0</xdr:row>
      <xdr:rowOff>76200</xdr:rowOff>
    </xdr:from>
    <xdr:to>
      <xdr:col>5</xdr:col>
      <xdr:colOff>254000</xdr:colOff>
      <xdr:row>13</xdr:row>
      <xdr:rowOff>101600</xdr:rowOff>
    </xdr:to>
    <mc:AlternateContent xmlns:mc="http://schemas.openxmlformats.org/markup-compatibility/2006" xmlns:a14="http://schemas.microsoft.com/office/drawing/2010/main">
      <mc:Choice Requires="a14">
        <xdr:graphicFrame macro="">
          <xdr:nvGraphicFramePr>
            <xdr:cNvPr id="5" name="Ratings">
              <a:extLst>
                <a:ext uri="{FF2B5EF4-FFF2-40B4-BE49-F238E27FC236}">
                  <a16:creationId xmlns:a16="http://schemas.microsoft.com/office/drawing/2014/main" id="{B7420711-22B9-C32A-E7B9-EED5C462BAF3}"/>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mlns="">
        <xdr:sp macro="" textlink="">
          <xdr:nvSpPr>
            <xdr:cNvPr id="0" name=""/>
            <xdr:cNvSpPr>
              <a:spLocks noTextEdit="1"/>
            </xdr:cNvSpPr>
          </xdr:nvSpPr>
          <xdr:spPr>
            <a:xfrm>
              <a:off x="2165350" y="76200"/>
              <a:ext cx="1828800" cy="241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628650</xdr:colOff>
      <xdr:row>7</xdr:row>
      <xdr:rowOff>158750</xdr:rowOff>
    </xdr:from>
    <xdr:to>
      <xdr:col>2</xdr:col>
      <xdr:colOff>546100</xdr:colOff>
      <xdr:row>22</xdr:row>
      <xdr:rowOff>15872</xdr:rowOff>
    </xdr:to>
    <mc:AlternateContent xmlns:mc="http://schemas.openxmlformats.org/markup-compatibility/2006" xmlns:a14="http://schemas.microsoft.com/office/drawing/2010/main">
      <mc:Choice Requires="a14">
        <xdr:graphicFrame macro="">
          <xdr:nvGraphicFramePr>
            <xdr:cNvPr id="6" name="Rating Category">
              <a:extLst>
                <a:ext uri="{FF2B5EF4-FFF2-40B4-BE49-F238E27FC236}">
                  <a16:creationId xmlns:a16="http://schemas.microsoft.com/office/drawing/2014/main" id="{47979FC3-17D8-BAC2-F027-F32E8B8FAD2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628650" y="1447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xdr:row>
      <xdr:rowOff>133350</xdr:rowOff>
    </xdr:from>
    <xdr:to>
      <xdr:col>15</xdr:col>
      <xdr:colOff>266700</xdr:colOff>
      <xdr:row>15</xdr:row>
      <xdr:rowOff>174622</xdr:rowOff>
    </xdr:to>
    <mc:AlternateContent xmlns:mc="http://schemas.openxmlformats.org/markup-compatibility/2006" xmlns:a14="http://schemas.microsoft.com/office/drawing/2010/main">
      <mc:Choice Requires="a14">
        <xdr:graphicFrame macro="">
          <xdr:nvGraphicFramePr>
            <xdr:cNvPr id="7" name="Discount Category">
              <a:extLst>
                <a:ext uri="{FF2B5EF4-FFF2-40B4-BE49-F238E27FC236}">
                  <a16:creationId xmlns:a16="http://schemas.microsoft.com/office/drawing/2014/main" id="{E59905E4-9B42-6A8C-76B6-04F11E040929}"/>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8274050" y="317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508000</xdr:colOff>
      <xdr:row>8</xdr:row>
      <xdr:rowOff>57150</xdr:rowOff>
    </xdr:from>
    <xdr:to>
      <xdr:col>2</xdr:col>
      <xdr:colOff>425450</xdr:colOff>
      <xdr:row>36</xdr:row>
      <xdr:rowOff>120650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3127F12-3256-80FB-11E8-E461778A2A6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8000" y="1530350"/>
              <a:ext cx="1828800" cy="521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488950</xdr:colOff>
      <xdr:row>2</xdr:row>
      <xdr:rowOff>6350</xdr:rowOff>
    </xdr:from>
    <xdr:to>
      <xdr:col>16</xdr:col>
      <xdr:colOff>488950</xdr:colOff>
      <xdr:row>16</xdr:row>
      <xdr:rowOff>47622</xdr:rowOff>
    </xdr:to>
    <mc:AlternateContent xmlns:mc="http://schemas.openxmlformats.org/markup-compatibility/2006" xmlns:a14="http://schemas.microsoft.com/office/drawing/2010/main">
      <mc:Choice Requires="a14">
        <xdr:graphicFrame macro="">
          <xdr:nvGraphicFramePr>
            <xdr:cNvPr id="9" name="Current price">
              <a:extLst>
                <a:ext uri="{FF2B5EF4-FFF2-40B4-BE49-F238E27FC236}">
                  <a16:creationId xmlns:a16="http://schemas.microsoft.com/office/drawing/2014/main" id="{666042B4-86A7-626F-55D7-1FDFC9EEFEC8}"/>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mlns="">
        <xdr:sp macro="" textlink="">
          <xdr:nvSpPr>
            <xdr:cNvPr id="0" name=""/>
            <xdr:cNvSpPr>
              <a:spLocks noTextEdit="1"/>
            </xdr:cNvSpPr>
          </xdr:nvSpPr>
          <xdr:spPr>
            <a:xfrm>
              <a:off x="9105900" y="374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0</xdr:rowOff>
    </xdr:from>
    <xdr:to>
      <xdr:col>3</xdr:col>
      <xdr:colOff>190500</xdr:colOff>
      <xdr:row>30</xdr:row>
      <xdr:rowOff>146050</xdr:rowOff>
    </xdr:to>
    <xdr:pic>
      <xdr:nvPicPr>
        <xdr:cNvPr id="22" name="Picture 21">
          <a:extLst>
            <a:ext uri="{FF2B5EF4-FFF2-40B4-BE49-F238E27FC236}">
              <a16:creationId xmlns:a16="http://schemas.microsoft.com/office/drawing/2014/main" id="{8893C986-D510-4CD5-AD89-F7164CAF11D0}"/>
            </a:ext>
          </a:extLst>
        </xdr:cNvPr>
        <xdr:cNvPicPr>
          <a:picLocks noChangeAspect="1"/>
        </xdr:cNvPicPr>
      </xdr:nvPicPr>
      <xdr:blipFill>
        <a:blip xmlns:r="http://schemas.openxmlformats.org/officeDocument/2006/relationships" r:embed="rId3"/>
        <a:stretch>
          <a:fillRect/>
        </a:stretch>
      </xdr:blipFill>
      <xdr:spPr>
        <a:xfrm>
          <a:off x="869950" y="1289050"/>
          <a:ext cx="1841500" cy="4381500"/>
        </a:xfrm>
        <a:prstGeom prst="rect">
          <a:avLst/>
        </a:prstGeom>
      </xdr:spPr>
    </xdr:pic>
    <xdr:clientData/>
  </xdr:twoCellAnchor>
  <xdr:twoCellAnchor editAs="oneCell">
    <xdr:from>
      <xdr:col>4</xdr:col>
      <xdr:colOff>44450</xdr:colOff>
      <xdr:row>1</xdr:row>
      <xdr:rowOff>165100</xdr:rowOff>
    </xdr:from>
    <xdr:to>
      <xdr:col>7</xdr:col>
      <xdr:colOff>44450</xdr:colOff>
      <xdr:row>16</xdr:row>
      <xdr:rowOff>22222</xdr:rowOff>
    </xdr:to>
    <mc:AlternateContent xmlns:mc="http://schemas.openxmlformats.org/markup-compatibility/2006">
      <mc:Choice xmlns:a14="http://schemas.microsoft.com/office/drawing/2010/main" Requires="a14">
        <xdr:graphicFrame macro="">
          <xdr:nvGraphicFramePr>
            <xdr:cNvPr id="23" name="Rating Category 1">
              <a:extLst>
                <a:ext uri="{FF2B5EF4-FFF2-40B4-BE49-F238E27FC236}">
                  <a16:creationId xmlns:a16="http://schemas.microsoft.com/office/drawing/2014/main" id="{E85AC811-BDC2-28FC-7FE9-C39012881966}"/>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3175000" y="349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xdr:colOff>
      <xdr:row>1</xdr:row>
      <xdr:rowOff>6350</xdr:rowOff>
    </xdr:from>
    <xdr:to>
      <xdr:col>11</xdr:col>
      <xdr:colOff>63500</xdr:colOff>
      <xdr:row>15</xdr:row>
      <xdr:rowOff>47622</xdr:rowOff>
    </xdr:to>
    <mc:AlternateContent xmlns:mc="http://schemas.openxmlformats.org/markup-compatibility/2006">
      <mc:Choice xmlns:a14="http://schemas.microsoft.com/office/drawing/2010/main" Requires="a14">
        <xdr:graphicFrame macro="">
          <xdr:nvGraphicFramePr>
            <xdr:cNvPr id="24" name="Discount Category 1">
              <a:extLst>
                <a:ext uri="{FF2B5EF4-FFF2-40B4-BE49-F238E27FC236}">
                  <a16:creationId xmlns:a16="http://schemas.microsoft.com/office/drawing/2014/main" id="{8837FDA8-F032-7A72-5CF6-821DC5B38A03}"/>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5632450" y="190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285750</xdr:colOff>
      <xdr:row>3</xdr:row>
      <xdr:rowOff>44450</xdr:rowOff>
    </xdr:from>
    <xdr:to>
      <xdr:col>7</xdr:col>
      <xdr:colOff>285750</xdr:colOff>
      <xdr:row>17</xdr:row>
      <xdr:rowOff>85722</xdr:rowOff>
    </xdr:to>
    <mc:AlternateContent xmlns:mc="http://schemas.openxmlformats.org/markup-compatibility/2006">
      <mc:Choice xmlns:a14="http://schemas.microsoft.com/office/drawing/2010/main" Requires="a14">
        <xdr:graphicFrame macro="">
          <xdr:nvGraphicFramePr>
            <xdr:cNvPr id="25" name="Rating Category 3">
              <a:extLst>
                <a:ext uri="{FF2B5EF4-FFF2-40B4-BE49-F238E27FC236}">
                  <a16:creationId xmlns:a16="http://schemas.microsoft.com/office/drawing/2014/main" id="{A992EBCC-3A2F-F97A-0D85-F006FDDFC6C2}"/>
                </a:ext>
              </a:extLst>
            </xdr:cNvPr>
            <xdr:cNvGraphicFramePr/>
          </xdr:nvGraphicFramePr>
          <xdr:xfrm>
            <a:off x="0" y="0"/>
            <a:ext cx="0" cy="0"/>
          </xdr:xfrm>
          <a:graphic>
            <a:graphicData uri="http://schemas.microsoft.com/office/drawing/2010/slicer">
              <sle:slicer xmlns:sle="http://schemas.microsoft.com/office/drawing/2010/slicer" name="Rating Category 3"/>
            </a:graphicData>
          </a:graphic>
        </xdr:graphicFrame>
      </mc:Choice>
      <mc:Fallback>
        <xdr:sp macro="" textlink="">
          <xdr:nvSpPr>
            <xdr:cNvPr id="0" name=""/>
            <xdr:cNvSpPr>
              <a:spLocks noTextEdit="1"/>
            </xdr:cNvSpPr>
          </xdr:nvSpPr>
          <xdr:spPr>
            <a:xfrm>
              <a:off x="3416300" y="596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0</xdr:row>
      <xdr:rowOff>158750</xdr:rowOff>
    </xdr:from>
    <xdr:to>
      <xdr:col>12</xdr:col>
      <xdr:colOff>514350</xdr:colOff>
      <xdr:row>3</xdr:row>
      <xdr:rowOff>152400</xdr:rowOff>
    </xdr:to>
    <xdr:sp macro="" textlink="">
      <xdr:nvSpPr>
        <xdr:cNvPr id="2" name="Rectangle: Rounded Corners 1">
          <a:extLst>
            <a:ext uri="{FF2B5EF4-FFF2-40B4-BE49-F238E27FC236}">
              <a16:creationId xmlns:a16="http://schemas.microsoft.com/office/drawing/2014/main" id="{6094E20B-4A79-5827-141F-D1483A8DCF1A}"/>
            </a:ext>
          </a:extLst>
        </xdr:cNvPr>
        <xdr:cNvSpPr/>
      </xdr:nvSpPr>
      <xdr:spPr>
        <a:xfrm>
          <a:off x="2400300" y="158750"/>
          <a:ext cx="5429250" cy="546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a:t>Jumia</a:t>
          </a:r>
          <a:r>
            <a:rPr lang="en-US" sz="2800" b="1" baseline="0"/>
            <a:t> Product Analytics Dashboard</a:t>
          </a:r>
          <a:endParaRPr lang="en-US" sz="2800" b="1"/>
        </a:p>
      </xdr:txBody>
    </xdr:sp>
    <xdr:clientData/>
  </xdr:twoCellAnchor>
  <xdr:twoCellAnchor>
    <xdr:from>
      <xdr:col>2</xdr:col>
      <xdr:colOff>133350</xdr:colOff>
      <xdr:row>5</xdr:row>
      <xdr:rowOff>12700</xdr:rowOff>
    </xdr:from>
    <xdr:to>
      <xdr:col>5</xdr:col>
      <xdr:colOff>381000</xdr:colOff>
      <xdr:row>8</xdr:row>
      <xdr:rowOff>76200</xdr:rowOff>
    </xdr:to>
    <xdr:sp macro="" textlink="">
      <xdr:nvSpPr>
        <xdr:cNvPr id="3" name="Rectangle: Rounded Corners 2">
          <a:extLst>
            <a:ext uri="{FF2B5EF4-FFF2-40B4-BE49-F238E27FC236}">
              <a16:creationId xmlns:a16="http://schemas.microsoft.com/office/drawing/2014/main" id="{969499DE-0C84-55AC-2607-EA8DC0988416}"/>
            </a:ext>
          </a:extLst>
        </xdr:cNvPr>
        <xdr:cNvSpPr/>
      </xdr:nvSpPr>
      <xdr:spPr>
        <a:xfrm>
          <a:off x="1352550" y="933450"/>
          <a:ext cx="2076450" cy="615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t>Total Number</a:t>
          </a:r>
          <a:r>
            <a:rPr lang="en-US" sz="1400" baseline="0"/>
            <a:t> of Products </a:t>
          </a:r>
          <a:r>
            <a:rPr lang="en-US" sz="1400" b="1" baseline="0"/>
            <a:t>111</a:t>
          </a:r>
          <a:r>
            <a:rPr lang="en-US" sz="1400" baseline="0"/>
            <a:t>  </a:t>
          </a:r>
          <a:endParaRPr lang="en-US" sz="1400"/>
        </a:p>
      </xdr:txBody>
    </xdr:sp>
    <xdr:clientData/>
  </xdr:twoCellAnchor>
  <xdr:twoCellAnchor>
    <xdr:from>
      <xdr:col>9</xdr:col>
      <xdr:colOff>266700</xdr:colOff>
      <xdr:row>5</xdr:row>
      <xdr:rowOff>19050</xdr:rowOff>
    </xdr:from>
    <xdr:to>
      <xdr:col>11</xdr:col>
      <xdr:colOff>349250</xdr:colOff>
      <xdr:row>8</xdr:row>
      <xdr:rowOff>76200</xdr:rowOff>
    </xdr:to>
    <xdr:sp macro="" textlink="">
      <xdr:nvSpPr>
        <xdr:cNvPr id="4" name="Rectangle: Rounded Corners 3">
          <a:extLst>
            <a:ext uri="{FF2B5EF4-FFF2-40B4-BE49-F238E27FC236}">
              <a16:creationId xmlns:a16="http://schemas.microsoft.com/office/drawing/2014/main" id="{B371AB33-7DB1-3118-C059-4DF71D01277C}"/>
            </a:ext>
          </a:extLst>
        </xdr:cNvPr>
        <xdr:cNvSpPr/>
      </xdr:nvSpPr>
      <xdr:spPr>
        <a:xfrm>
          <a:off x="5753100" y="939800"/>
          <a:ext cx="1301750"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0"/>
            <a:t>Average Rating</a:t>
          </a:r>
        </a:p>
        <a:p>
          <a:pPr algn="l"/>
          <a:r>
            <a:rPr lang="en-US" sz="1400" b="1" i="0" u="none" strike="noStrike">
              <a:solidFill>
                <a:schemeClr val="dk1"/>
              </a:solidFill>
              <a:effectLst/>
              <a:latin typeface="+mn-lt"/>
              <a:ea typeface="+mn-ea"/>
              <a:cs typeface="+mn-cs"/>
            </a:rPr>
            <a:t>0.0</a:t>
          </a:r>
          <a:r>
            <a:rPr lang="en-US" sz="1400"/>
            <a:t> </a:t>
          </a:r>
          <a:endParaRPr lang="en-US" sz="1400" b="0"/>
        </a:p>
      </xdr:txBody>
    </xdr:sp>
    <xdr:clientData/>
  </xdr:twoCellAnchor>
  <xdr:twoCellAnchor>
    <xdr:from>
      <xdr:col>12</xdr:col>
      <xdr:colOff>406400</xdr:colOff>
      <xdr:row>5</xdr:row>
      <xdr:rowOff>19050</xdr:rowOff>
    </xdr:from>
    <xdr:to>
      <xdr:col>15</xdr:col>
      <xdr:colOff>127000</xdr:colOff>
      <xdr:row>8</xdr:row>
      <xdr:rowOff>63500</xdr:rowOff>
    </xdr:to>
    <xdr:sp macro="" textlink="">
      <xdr:nvSpPr>
        <xdr:cNvPr id="6" name="Rectangle: Rounded Corners 5">
          <a:extLst>
            <a:ext uri="{FF2B5EF4-FFF2-40B4-BE49-F238E27FC236}">
              <a16:creationId xmlns:a16="http://schemas.microsoft.com/office/drawing/2014/main" id="{A0E92078-F3D4-A2AF-8049-48A409434C13}"/>
            </a:ext>
          </a:extLst>
        </xdr:cNvPr>
        <xdr:cNvSpPr/>
      </xdr:nvSpPr>
      <xdr:spPr>
        <a:xfrm>
          <a:off x="7721600" y="939800"/>
          <a:ext cx="1549400" cy="596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t>Average</a:t>
          </a:r>
          <a:r>
            <a:rPr lang="en-US" sz="1400" baseline="0"/>
            <a:t> Discount </a:t>
          </a:r>
          <a:endParaRPr lang="en-US" sz="1400" b="0" i="0" u="none" strike="noStrike" baseline="0">
            <a:solidFill>
              <a:schemeClr val="dk1"/>
            </a:solidFill>
            <a:effectLst/>
            <a:latin typeface="+mn-lt"/>
            <a:ea typeface="+mn-ea"/>
            <a:cs typeface="+mn-cs"/>
          </a:endParaRPr>
        </a:p>
        <a:p>
          <a:pPr algn="l"/>
          <a:r>
            <a:rPr lang="en-US" sz="1400" b="1" i="0" u="none" strike="noStrike">
              <a:solidFill>
                <a:schemeClr val="dk1"/>
              </a:solidFill>
              <a:effectLst/>
              <a:latin typeface="+mn-lt"/>
              <a:ea typeface="+mn-ea"/>
              <a:cs typeface="+mn-cs"/>
            </a:rPr>
            <a:t>0</a:t>
          </a:r>
          <a:r>
            <a:rPr lang="en-US" sz="1400" b="1"/>
            <a:t> </a:t>
          </a:r>
        </a:p>
      </xdr:txBody>
    </xdr:sp>
    <xdr:clientData/>
  </xdr:twoCellAnchor>
  <xdr:twoCellAnchor>
    <xdr:from>
      <xdr:col>6</xdr:col>
      <xdr:colOff>165100</xdr:colOff>
      <xdr:row>5</xdr:row>
      <xdr:rowOff>6350</xdr:rowOff>
    </xdr:from>
    <xdr:to>
      <xdr:col>8</xdr:col>
      <xdr:colOff>247650</xdr:colOff>
      <xdr:row>8</xdr:row>
      <xdr:rowOff>88900</xdr:rowOff>
    </xdr:to>
    <xdr:sp macro="" textlink="">
      <xdr:nvSpPr>
        <xdr:cNvPr id="7" name="Rectangle: Rounded Corners 6">
          <a:extLst>
            <a:ext uri="{FF2B5EF4-FFF2-40B4-BE49-F238E27FC236}">
              <a16:creationId xmlns:a16="http://schemas.microsoft.com/office/drawing/2014/main" id="{07B47DE6-CA71-DDC4-2A3A-0AC54B194883}"/>
            </a:ext>
          </a:extLst>
        </xdr:cNvPr>
        <xdr:cNvSpPr/>
      </xdr:nvSpPr>
      <xdr:spPr>
        <a:xfrm>
          <a:off x="3822700" y="927100"/>
          <a:ext cx="1301750" cy="635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t>Total</a:t>
          </a:r>
          <a:r>
            <a:rPr lang="en-US" sz="1400" baseline="0"/>
            <a:t> Reviews</a:t>
          </a:r>
          <a:endParaRPr lang="en-US" sz="1100" b="0" i="0" u="none" strike="noStrike" baseline="0">
            <a:solidFill>
              <a:schemeClr val="dk1"/>
            </a:solidFill>
            <a:effectLst/>
            <a:latin typeface="+mn-lt"/>
            <a:ea typeface="+mn-ea"/>
            <a:cs typeface="+mn-cs"/>
          </a:endParaRPr>
        </a:p>
        <a:p>
          <a:pPr algn="l"/>
          <a:r>
            <a:rPr lang="en-US" sz="1400" b="1" i="0" u="none" strike="noStrike">
              <a:solidFill>
                <a:schemeClr val="dk1"/>
              </a:solidFill>
              <a:effectLst/>
              <a:latin typeface="+mn-lt"/>
              <a:ea typeface="+mn-ea"/>
              <a:cs typeface="+mn-cs"/>
            </a:rPr>
            <a:t>0</a:t>
          </a:r>
          <a:r>
            <a:rPr lang="en-US" sz="1400"/>
            <a:t> </a:t>
          </a:r>
        </a:p>
      </xdr:txBody>
    </xdr:sp>
    <xdr:clientData/>
  </xdr:twoCellAnchor>
  <xdr:twoCellAnchor editAs="oneCell">
    <xdr:from>
      <xdr:col>3</xdr:col>
      <xdr:colOff>215900</xdr:colOff>
      <xdr:row>9</xdr:row>
      <xdr:rowOff>25400</xdr:rowOff>
    </xdr:from>
    <xdr:to>
      <xdr:col>10</xdr:col>
      <xdr:colOff>355600</xdr:colOff>
      <xdr:row>23</xdr:row>
      <xdr:rowOff>50800</xdr:rowOff>
    </xdr:to>
    <xdr:pic>
      <xdr:nvPicPr>
        <xdr:cNvPr id="17" name="Picture 16">
          <a:extLst>
            <a:ext uri="{FF2B5EF4-FFF2-40B4-BE49-F238E27FC236}">
              <a16:creationId xmlns:a16="http://schemas.microsoft.com/office/drawing/2014/main" id="{087DEDFC-2E4F-7F37-3A05-D24C3606C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4700" y="1682750"/>
          <a:ext cx="4406900" cy="260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196850</xdr:colOff>
      <xdr:row>23</xdr:row>
      <xdr:rowOff>107950</xdr:rowOff>
    </xdr:from>
    <xdr:to>
      <xdr:col>10</xdr:col>
      <xdr:colOff>336550</xdr:colOff>
      <xdr:row>36</xdr:row>
      <xdr:rowOff>114300</xdr:rowOff>
    </xdr:to>
    <xdr:pic>
      <xdr:nvPicPr>
        <xdr:cNvPr id="20" name="Picture 19">
          <a:extLst>
            <a:ext uri="{FF2B5EF4-FFF2-40B4-BE49-F238E27FC236}">
              <a16:creationId xmlns:a16="http://schemas.microsoft.com/office/drawing/2014/main" id="{A56D551D-4027-B1A4-373D-EB2D26E494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4343400"/>
          <a:ext cx="4406900"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184150</xdr:colOff>
      <xdr:row>37</xdr:row>
      <xdr:rowOff>6350</xdr:rowOff>
    </xdr:from>
    <xdr:to>
      <xdr:col>10</xdr:col>
      <xdr:colOff>336550</xdr:colOff>
      <xdr:row>50</xdr:row>
      <xdr:rowOff>12700</xdr:rowOff>
    </xdr:to>
    <xdr:pic>
      <xdr:nvPicPr>
        <xdr:cNvPr id="22" name="Picture 21">
          <a:extLst>
            <a:ext uri="{FF2B5EF4-FFF2-40B4-BE49-F238E27FC236}">
              <a16:creationId xmlns:a16="http://schemas.microsoft.com/office/drawing/2014/main" id="{9F1B929A-1F29-5970-18F1-13C063C733E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12950" y="6819900"/>
          <a:ext cx="4419600"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520700</xdr:colOff>
      <xdr:row>9</xdr:row>
      <xdr:rowOff>25400</xdr:rowOff>
    </xdr:from>
    <xdr:to>
      <xdr:col>18</xdr:col>
      <xdr:colOff>228489</xdr:colOff>
      <xdr:row>24</xdr:row>
      <xdr:rowOff>18781</xdr:rowOff>
    </xdr:to>
    <xdr:pic>
      <xdr:nvPicPr>
        <xdr:cNvPr id="24" name="Picture 23">
          <a:extLst>
            <a:ext uri="{FF2B5EF4-FFF2-40B4-BE49-F238E27FC236}">
              <a16:creationId xmlns:a16="http://schemas.microsoft.com/office/drawing/2014/main" id="{E35D00FE-1195-1C55-E7A0-4B21FDE8569E}"/>
            </a:ext>
          </a:extLst>
        </xdr:cNvPr>
        <xdr:cNvPicPr>
          <a:picLocks noChangeAspect="1"/>
        </xdr:cNvPicPr>
      </xdr:nvPicPr>
      <xdr:blipFill>
        <a:blip xmlns:r="http://schemas.openxmlformats.org/officeDocument/2006/relationships" r:embed="rId4"/>
        <a:stretch>
          <a:fillRect/>
        </a:stretch>
      </xdr:blipFill>
      <xdr:spPr>
        <a:xfrm>
          <a:off x="6616700" y="1682750"/>
          <a:ext cx="4584589" cy="2755631"/>
        </a:xfrm>
        <a:prstGeom prst="rect">
          <a:avLst/>
        </a:prstGeom>
      </xdr:spPr>
    </xdr:pic>
    <xdr:clientData/>
  </xdr:twoCellAnchor>
  <xdr:twoCellAnchor editAs="oneCell">
    <xdr:from>
      <xdr:col>10</xdr:col>
      <xdr:colOff>533400</xdr:colOff>
      <xdr:row>25</xdr:row>
      <xdr:rowOff>50800</xdr:rowOff>
    </xdr:from>
    <xdr:to>
      <xdr:col>18</xdr:col>
      <xdr:colOff>241189</xdr:colOff>
      <xdr:row>40</xdr:row>
      <xdr:rowOff>44181</xdr:rowOff>
    </xdr:to>
    <xdr:pic>
      <xdr:nvPicPr>
        <xdr:cNvPr id="26" name="Picture 25">
          <a:extLst>
            <a:ext uri="{FF2B5EF4-FFF2-40B4-BE49-F238E27FC236}">
              <a16:creationId xmlns:a16="http://schemas.microsoft.com/office/drawing/2014/main" id="{DADFC15E-E360-546B-4F74-0F7A51E1D9E4}"/>
            </a:ext>
          </a:extLst>
        </xdr:cNvPr>
        <xdr:cNvPicPr>
          <a:picLocks noChangeAspect="1"/>
        </xdr:cNvPicPr>
      </xdr:nvPicPr>
      <xdr:blipFill>
        <a:blip xmlns:r="http://schemas.openxmlformats.org/officeDocument/2006/relationships" r:embed="rId5"/>
        <a:stretch>
          <a:fillRect/>
        </a:stretch>
      </xdr:blipFill>
      <xdr:spPr>
        <a:xfrm>
          <a:off x="6629400" y="4654550"/>
          <a:ext cx="4584589" cy="2755631"/>
        </a:xfrm>
        <a:prstGeom prst="rect">
          <a:avLst/>
        </a:prstGeom>
      </xdr:spPr>
    </xdr:pic>
    <xdr:clientData/>
  </xdr:twoCellAnchor>
  <xdr:twoCellAnchor editAs="oneCell">
    <xdr:from>
      <xdr:col>10</xdr:col>
      <xdr:colOff>539750</xdr:colOff>
      <xdr:row>40</xdr:row>
      <xdr:rowOff>95250</xdr:rowOff>
    </xdr:from>
    <xdr:to>
      <xdr:col>18</xdr:col>
      <xdr:colOff>247539</xdr:colOff>
      <xdr:row>55</xdr:row>
      <xdr:rowOff>88631</xdr:rowOff>
    </xdr:to>
    <xdr:pic>
      <xdr:nvPicPr>
        <xdr:cNvPr id="28" name="Picture 27">
          <a:extLst>
            <a:ext uri="{FF2B5EF4-FFF2-40B4-BE49-F238E27FC236}">
              <a16:creationId xmlns:a16="http://schemas.microsoft.com/office/drawing/2014/main" id="{FBA06094-9668-8677-95B1-0226C3667EFF}"/>
            </a:ext>
          </a:extLst>
        </xdr:cNvPr>
        <xdr:cNvPicPr>
          <a:picLocks noChangeAspect="1"/>
        </xdr:cNvPicPr>
      </xdr:nvPicPr>
      <xdr:blipFill>
        <a:blip xmlns:r="http://schemas.openxmlformats.org/officeDocument/2006/relationships" r:embed="rId6"/>
        <a:stretch>
          <a:fillRect/>
        </a:stretch>
      </xdr:blipFill>
      <xdr:spPr>
        <a:xfrm>
          <a:off x="6635750" y="7461250"/>
          <a:ext cx="4584589" cy="2755631"/>
        </a:xfrm>
        <a:prstGeom prst="rect">
          <a:avLst/>
        </a:prstGeom>
      </xdr:spPr>
    </xdr:pic>
    <xdr:clientData/>
  </xdr:twoCellAnchor>
  <xdr:twoCellAnchor editAs="oneCell">
    <xdr:from>
      <xdr:col>3</xdr:col>
      <xdr:colOff>165100</xdr:colOff>
      <xdr:row>50</xdr:row>
      <xdr:rowOff>57150</xdr:rowOff>
    </xdr:from>
    <xdr:to>
      <xdr:col>10</xdr:col>
      <xdr:colOff>482489</xdr:colOff>
      <xdr:row>65</xdr:row>
      <xdr:rowOff>50531</xdr:rowOff>
    </xdr:to>
    <xdr:pic>
      <xdr:nvPicPr>
        <xdr:cNvPr id="8" name="Picture 7">
          <a:extLst>
            <a:ext uri="{FF2B5EF4-FFF2-40B4-BE49-F238E27FC236}">
              <a16:creationId xmlns:a16="http://schemas.microsoft.com/office/drawing/2014/main" id="{B40476FD-D1D3-5511-3D3E-BF4460A9AB82}"/>
            </a:ext>
          </a:extLst>
        </xdr:cNvPr>
        <xdr:cNvPicPr>
          <a:picLocks noChangeAspect="1"/>
        </xdr:cNvPicPr>
      </xdr:nvPicPr>
      <xdr:blipFill>
        <a:blip xmlns:r="http://schemas.openxmlformats.org/officeDocument/2006/relationships" r:embed="rId7"/>
        <a:stretch>
          <a:fillRect/>
        </a:stretch>
      </xdr:blipFill>
      <xdr:spPr>
        <a:xfrm>
          <a:off x="1993900" y="9264650"/>
          <a:ext cx="4584589" cy="2755631"/>
        </a:xfrm>
        <a:prstGeom prst="rect">
          <a:avLst/>
        </a:prstGeom>
      </xdr:spPr>
    </xdr:pic>
    <xdr:clientData/>
  </xdr:twoCellAnchor>
  <xdr:twoCellAnchor editAs="oneCell">
    <xdr:from>
      <xdr:col>0</xdr:col>
      <xdr:colOff>139700</xdr:colOff>
      <xdr:row>9</xdr:row>
      <xdr:rowOff>25400</xdr:rowOff>
    </xdr:from>
    <xdr:to>
      <xdr:col>3</xdr:col>
      <xdr:colOff>139700</xdr:colOff>
      <xdr:row>17</xdr:row>
      <xdr:rowOff>6350</xdr:rowOff>
    </xdr:to>
    <mc:AlternateContent xmlns:mc="http://schemas.openxmlformats.org/markup-compatibility/2006">
      <mc:Choice xmlns:a14="http://schemas.microsoft.com/office/drawing/2010/main" Requires="a14">
        <xdr:graphicFrame macro="">
          <xdr:nvGraphicFramePr>
            <xdr:cNvPr id="21" name="Discount Category 2">
              <a:extLst>
                <a:ext uri="{FF2B5EF4-FFF2-40B4-BE49-F238E27FC236}">
                  <a16:creationId xmlns:a16="http://schemas.microsoft.com/office/drawing/2014/main" id="{3B020DC8-B13B-4E95-BDBB-9FF996B1CBC4}"/>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dr:sp macro="" textlink="">
          <xdr:nvSpPr>
            <xdr:cNvPr id="0" name=""/>
            <xdr:cNvSpPr>
              <a:spLocks noTextEdit="1"/>
            </xdr:cNvSpPr>
          </xdr:nvSpPr>
          <xdr:spPr>
            <a:xfrm>
              <a:off x="139700" y="1682750"/>
              <a:ext cx="18288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17</xdr:row>
      <xdr:rowOff>114300</xdr:rowOff>
    </xdr:from>
    <xdr:to>
      <xdr:col>3</xdr:col>
      <xdr:colOff>139700</xdr:colOff>
      <xdr:row>26</xdr:row>
      <xdr:rowOff>63500</xdr:rowOff>
    </xdr:to>
    <mc:AlternateContent xmlns:mc="http://schemas.openxmlformats.org/markup-compatibility/2006">
      <mc:Choice xmlns:a14="http://schemas.microsoft.com/office/drawing/2010/main" Requires="a14">
        <xdr:graphicFrame macro="">
          <xdr:nvGraphicFramePr>
            <xdr:cNvPr id="25" name="Rating Category 2">
              <a:extLst>
                <a:ext uri="{FF2B5EF4-FFF2-40B4-BE49-F238E27FC236}">
                  <a16:creationId xmlns:a16="http://schemas.microsoft.com/office/drawing/2014/main" id="{A07F5BC7-DF85-4524-9A61-5A24C3500C98}"/>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dr:sp macro="" textlink="">
          <xdr:nvSpPr>
            <xdr:cNvPr id="0" name=""/>
            <xdr:cNvSpPr>
              <a:spLocks noTextEdit="1"/>
            </xdr:cNvSpPr>
          </xdr:nvSpPr>
          <xdr:spPr>
            <a:xfrm>
              <a:off x="139700" y="3244850"/>
              <a:ext cx="1828800" cy="160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8.409881134263" createdVersion="8" refreshedVersion="8" minRefreshableVersion="3" recordCount="111" xr:uid="{394FECCE-6306-4B51-88B6-22AC0DBB6979}">
  <cacheSource type="worksheet">
    <worksheetSource ref="A1:I112" sheet="Excel_jumia_dataset"/>
  </cacheSource>
  <cacheFields count="9">
    <cacheField name="Product" numFmtId="0">
      <sharedItems count="108">
        <s v="115  Piece Set Of Multifunctional Precision Screwdrivers"/>
        <s v="Metal Decorative Hooks Key Hangers Entryway Wall Hooks Towel Hooks  Home"/>
        <s v="Portable Mini Cordless Car Vacuum Cleaner  Blue"/>
        <s v="Weighing Scale Digital Bathroom Body Fat Scale USBBlack"/>
        <s v="Portable Home Small Air Humidifier 3Speed Fan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Black"/>
        <s v="12 Litre Insulated Lunch Box Grey"/>
        <s v="LED Eye Protection  Desk Lamp , Study, Reading, USB Fan  Double Pen Holder"/>
        <s v="53Pcs/Set Yarn Knitting Crochet Hooks With Bag  Fortune Cat"/>
        <s v="53 Pieces/Set Yarn Knitting Crochet Hooks With Bag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UK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50*30cm"/>
        <s v="Bedroom Simple Floor Hanging Clothes Rack Single Pole Hat Rack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600ML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haredItems>
    </cacheField>
    <cacheField name="Current price" numFmtId="1">
      <sharedItems containsSemiMixedTypes="0" containsString="0" containsNumber="1" containsInteger="1" minValue="38" maxValue="3750" count="102">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sharedItems>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1">
      <sharedItems containsSemiMixedTypes="0" containsString="0" containsNumber="1" containsInteger="1" minValue="0" maxValue="69"/>
    </cacheField>
    <cacheField name="Ratings" numFmtId="164">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cacheField>
    <cacheField name="Absolute Discount" numFmtId="164">
      <sharedItems containsSemiMixedTypes="0" containsString="0" containsNumber="1" containsInteger="1" minValue="24" maxValue="2585"/>
    </cacheField>
    <cacheField name="Rating Category" numFmtId="164">
      <sharedItems count="4">
        <s v="Excellent"/>
        <s v="Good"/>
        <s v="Average"/>
        <s v="Poor"/>
      </sharedItems>
    </cacheField>
    <cacheField name="Discount Category" numFmtId="164">
      <sharedItems count="3">
        <s v="Medim Discount"/>
        <s v="High Discount"/>
        <s v="Low Discount"/>
      </sharedItems>
    </cacheField>
  </cacheFields>
  <extLst>
    <ext xmlns:x14="http://schemas.microsoft.com/office/spreadsheetml/2009/9/main" uri="{725AE2AE-9491-48be-B2B4-4EB974FC3084}">
      <x14:pivotCacheDefinition pivotCacheId="2140374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n v="1525"/>
    <x v="0"/>
    <n v="2"/>
    <x v="0"/>
    <n v="575"/>
    <x v="0"/>
    <x v="0"/>
  </r>
  <r>
    <x v="1"/>
    <x v="1"/>
    <n v="999"/>
    <x v="1"/>
    <n v="14"/>
    <x v="1"/>
    <n v="472"/>
    <x v="1"/>
    <x v="1"/>
  </r>
  <r>
    <x v="2"/>
    <x v="2"/>
    <n v="2923"/>
    <x v="2"/>
    <n v="24"/>
    <x v="2"/>
    <n v="724"/>
    <x v="0"/>
    <x v="0"/>
  </r>
  <r>
    <x v="3"/>
    <x v="3"/>
    <n v="2499"/>
    <x v="3"/>
    <n v="7"/>
    <x v="3"/>
    <n v="919"/>
    <x v="0"/>
    <x v="0"/>
  </r>
  <r>
    <x v="4"/>
    <x v="4"/>
    <n v="2356"/>
    <x v="4"/>
    <n v="5"/>
    <x v="4"/>
    <n v="616"/>
    <x v="0"/>
    <x v="0"/>
  </r>
  <r>
    <x v="5"/>
    <x v="5"/>
    <n v="3290"/>
    <x v="5"/>
    <n v="15"/>
    <x v="5"/>
    <n v="291"/>
    <x v="2"/>
    <x v="2"/>
  </r>
  <r>
    <x v="6"/>
    <x v="6"/>
    <n v="3032"/>
    <x v="6"/>
    <n v="55"/>
    <x v="2"/>
    <n v="713"/>
    <x v="0"/>
    <x v="0"/>
  </r>
  <r>
    <x v="7"/>
    <x v="7"/>
    <n v="1580"/>
    <x v="3"/>
    <n v="2"/>
    <x v="5"/>
    <n v="592"/>
    <x v="2"/>
    <x v="0"/>
  </r>
  <r>
    <x v="8"/>
    <x v="8"/>
    <n v="2800"/>
    <x v="7"/>
    <n v="5"/>
    <x v="4"/>
    <n v="1526"/>
    <x v="0"/>
    <x v="1"/>
  </r>
  <r>
    <x v="9"/>
    <x v="9"/>
    <n v="2929"/>
    <x v="8"/>
    <n v="5"/>
    <x v="6"/>
    <n v="1329"/>
    <x v="2"/>
    <x v="1"/>
  </r>
  <r>
    <x v="10"/>
    <x v="10"/>
    <n v="999"/>
    <x v="9"/>
    <n v="12"/>
    <x v="1"/>
    <n v="200"/>
    <x v="1"/>
    <x v="0"/>
  </r>
  <r>
    <x v="11"/>
    <x v="11"/>
    <n v="1500"/>
    <x v="10"/>
    <n v="39"/>
    <x v="3"/>
    <n v="510"/>
    <x v="0"/>
    <x v="0"/>
  </r>
  <r>
    <x v="12"/>
    <x v="12"/>
    <n v="1035"/>
    <x v="1"/>
    <n v="12"/>
    <x v="4"/>
    <n v="483"/>
    <x v="0"/>
    <x v="1"/>
  </r>
  <r>
    <x v="13"/>
    <x v="13"/>
    <n v="860"/>
    <x v="11"/>
    <n v="6"/>
    <x v="0"/>
    <n v="359"/>
    <x v="0"/>
    <x v="1"/>
  </r>
  <r>
    <x v="14"/>
    <x v="14"/>
    <n v="2499"/>
    <x v="12"/>
    <n v="9"/>
    <x v="7"/>
    <n v="819"/>
    <x v="1"/>
    <x v="0"/>
  </r>
  <r>
    <x v="15"/>
    <x v="15"/>
    <n v="684"/>
    <x v="13"/>
    <n v="2"/>
    <x v="8"/>
    <n v="352"/>
    <x v="0"/>
    <x v="1"/>
  </r>
  <r>
    <x v="16"/>
    <x v="16"/>
    <n v="360"/>
    <x v="14"/>
    <n v="2"/>
    <x v="8"/>
    <n v="165"/>
    <x v="0"/>
    <x v="1"/>
  </r>
  <r>
    <x v="17"/>
    <x v="17"/>
    <n v="3971"/>
    <x v="15"/>
    <n v="3"/>
    <x v="8"/>
    <n v="1946"/>
    <x v="0"/>
    <x v="1"/>
  </r>
  <r>
    <x v="18"/>
    <x v="5"/>
    <n v="3699"/>
    <x v="16"/>
    <n v="5"/>
    <x v="2"/>
    <n v="700"/>
    <x v="0"/>
    <x v="2"/>
  </r>
  <r>
    <x v="19"/>
    <x v="18"/>
    <n v="1966"/>
    <x v="15"/>
    <n v="44"/>
    <x v="2"/>
    <n v="968"/>
    <x v="0"/>
    <x v="1"/>
  </r>
  <r>
    <x v="20"/>
    <x v="19"/>
    <n v="80"/>
    <x v="17"/>
    <n v="13"/>
    <x v="9"/>
    <n v="42"/>
    <x v="2"/>
    <x v="1"/>
  </r>
  <r>
    <x v="21"/>
    <x v="20"/>
    <n v="3220"/>
    <x v="11"/>
    <n v="0"/>
    <x v="10"/>
    <n v="1360"/>
    <x v="0"/>
    <x v="1"/>
  </r>
  <r>
    <x v="22"/>
    <x v="21"/>
    <n v="1350"/>
    <x v="18"/>
    <n v="6"/>
    <x v="5"/>
    <n v="470"/>
    <x v="2"/>
    <x v="0"/>
  </r>
  <r>
    <x v="23"/>
    <x v="22"/>
    <n v="2150"/>
    <x v="19"/>
    <n v="14"/>
    <x v="11"/>
    <n v="500"/>
    <x v="1"/>
    <x v="0"/>
  </r>
  <r>
    <x v="24"/>
    <x v="23"/>
    <n v="4500"/>
    <x v="20"/>
    <n v="7"/>
    <x v="12"/>
    <n v="2452"/>
    <x v="1"/>
    <x v="1"/>
  </r>
  <r>
    <x v="25"/>
    <x v="24"/>
    <n v="647"/>
    <x v="18"/>
    <n v="49"/>
    <x v="2"/>
    <n v="227"/>
    <x v="0"/>
    <x v="0"/>
  </r>
  <r>
    <x v="26"/>
    <x v="25"/>
    <n v="3520"/>
    <x v="21"/>
    <n v="12"/>
    <x v="6"/>
    <n v="640"/>
    <x v="2"/>
    <x v="2"/>
  </r>
  <r>
    <x v="27"/>
    <x v="26"/>
    <n v="1990"/>
    <x v="22"/>
    <n v="13"/>
    <x v="6"/>
    <n v="640"/>
    <x v="2"/>
    <x v="0"/>
  </r>
  <r>
    <x v="28"/>
    <x v="27"/>
    <n v="2499"/>
    <x v="23"/>
    <n v="20"/>
    <x v="1"/>
    <n v="741"/>
    <x v="1"/>
    <x v="0"/>
  </r>
  <r>
    <x v="29"/>
    <x v="28"/>
    <n v="4080"/>
    <x v="14"/>
    <n v="0"/>
    <x v="10"/>
    <n v="1880"/>
    <x v="0"/>
    <x v="1"/>
  </r>
  <r>
    <x v="30"/>
    <x v="29"/>
    <n v="382"/>
    <x v="24"/>
    <n v="9"/>
    <x v="12"/>
    <n v="197"/>
    <x v="1"/>
    <x v="1"/>
  </r>
  <r>
    <x v="31"/>
    <x v="30"/>
    <n v="1490"/>
    <x v="10"/>
    <n v="12"/>
    <x v="3"/>
    <n v="510"/>
    <x v="0"/>
    <x v="0"/>
  </r>
  <r>
    <x v="32"/>
    <x v="31"/>
    <n v="3490"/>
    <x v="25"/>
    <n v="9"/>
    <x v="12"/>
    <n v="1670"/>
    <x v="1"/>
    <x v="1"/>
  </r>
  <r>
    <x v="33"/>
    <x v="32"/>
    <n v="2650"/>
    <x v="26"/>
    <n v="20"/>
    <x v="3"/>
    <n v="710"/>
    <x v="0"/>
    <x v="0"/>
  </r>
  <r>
    <x v="34"/>
    <x v="33"/>
    <n v="2699"/>
    <x v="26"/>
    <n v="32"/>
    <x v="0"/>
    <n v="719"/>
    <x v="0"/>
    <x v="0"/>
  </r>
  <r>
    <x v="35"/>
    <x v="34"/>
    <n v="2690"/>
    <x v="27"/>
    <n v="1"/>
    <x v="8"/>
    <n v="1070"/>
    <x v="0"/>
    <x v="0"/>
  </r>
  <r>
    <x v="36"/>
    <x v="35"/>
    <n v="360"/>
    <x v="17"/>
    <n v="2"/>
    <x v="8"/>
    <n v="189"/>
    <x v="0"/>
    <x v="1"/>
  </r>
  <r>
    <x v="37"/>
    <x v="36"/>
    <n v="656"/>
    <x v="28"/>
    <n v="36"/>
    <x v="12"/>
    <n v="267"/>
    <x v="1"/>
    <x v="1"/>
  </r>
  <r>
    <x v="38"/>
    <x v="37"/>
    <n v="2700"/>
    <x v="0"/>
    <n v="2"/>
    <x v="0"/>
    <n v="900"/>
    <x v="0"/>
    <x v="0"/>
  </r>
  <r>
    <x v="39"/>
    <x v="38"/>
    <n v="4471"/>
    <x v="0"/>
    <n v="0"/>
    <x v="10"/>
    <n v="1721"/>
    <x v="0"/>
    <x v="0"/>
  </r>
  <r>
    <x v="40"/>
    <x v="39"/>
    <n v="931"/>
    <x v="15"/>
    <n v="0"/>
    <x v="10"/>
    <n v="456"/>
    <x v="0"/>
    <x v="1"/>
  </r>
  <r>
    <x v="41"/>
    <x v="40"/>
    <n v="476"/>
    <x v="29"/>
    <n v="0"/>
    <x v="10"/>
    <n v="238"/>
    <x v="0"/>
    <x v="1"/>
  </r>
  <r>
    <x v="42"/>
    <x v="41"/>
    <n v="1060"/>
    <x v="11"/>
    <n v="0"/>
    <x v="10"/>
    <n v="450"/>
    <x v="0"/>
    <x v="1"/>
  </r>
  <r>
    <x v="43"/>
    <x v="42"/>
    <n v="2169"/>
    <x v="30"/>
    <n v="0"/>
    <x v="10"/>
    <n v="37"/>
    <x v="0"/>
    <x v="2"/>
  </r>
  <r>
    <x v="44"/>
    <x v="43"/>
    <n v="2000"/>
    <x v="29"/>
    <n v="0"/>
    <x v="10"/>
    <n v="1001"/>
    <x v="0"/>
    <x v="1"/>
  </r>
  <r>
    <x v="45"/>
    <x v="44"/>
    <n v="1785"/>
    <x v="12"/>
    <n v="0"/>
    <x v="10"/>
    <n v="595"/>
    <x v="0"/>
    <x v="0"/>
  </r>
  <r>
    <x v="46"/>
    <x v="45"/>
    <n v="1316"/>
    <x v="15"/>
    <n v="0"/>
    <x v="10"/>
    <n v="645"/>
    <x v="0"/>
    <x v="1"/>
  </r>
  <r>
    <x v="47"/>
    <x v="46"/>
    <n v="1950"/>
    <x v="0"/>
    <n v="0"/>
    <x v="10"/>
    <n v="750"/>
    <x v="0"/>
    <x v="0"/>
  </r>
  <r>
    <x v="48"/>
    <x v="47"/>
    <n v="504"/>
    <x v="31"/>
    <n v="0"/>
    <x v="10"/>
    <n v="305"/>
    <x v="0"/>
    <x v="1"/>
  </r>
  <r>
    <x v="49"/>
    <x v="48"/>
    <n v="600"/>
    <x v="29"/>
    <n v="0"/>
    <x v="10"/>
    <n v="301"/>
    <x v="0"/>
    <x v="1"/>
  </r>
  <r>
    <x v="50"/>
    <x v="49"/>
    <n v="1699"/>
    <x v="30"/>
    <n v="0"/>
    <x v="10"/>
    <n v="39"/>
    <x v="0"/>
    <x v="2"/>
  </r>
  <r>
    <x v="51"/>
    <x v="48"/>
    <n v="384"/>
    <x v="32"/>
    <n v="0"/>
    <x v="10"/>
    <n v="85"/>
    <x v="0"/>
    <x v="0"/>
  </r>
  <r>
    <x v="52"/>
    <x v="50"/>
    <n v="1499"/>
    <x v="33"/>
    <n v="0"/>
    <x v="10"/>
    <n v="40"/>
    <x v="0"/>
    <x v="2"/>
  </r>
  <r>
    <x v="53"/>
    <x v="10"/>
    <n v="1343"/>
    <x v="28"/>
    <n v="0"/>
    <x v="10"/>
    <n v="544"/>
    <x v="0"/>
    <x v="1"/>
  </r>
  <r>
    <x v="54"/>
    <x v="51"/>
    <n v="900"/>
    <x v="8"/>
    <n v="0"/>
    <x v="10"/>
    <n v="401"/>
    <x v="0"/>
    <x v="1"/>
  </r>
  <r>
    <x v="55"/>
    <x v="52"/>
    <n v="1343"/>
    <x v="25"/>
    <n v="0"/>
    <x v="10"/>
    <n v="644"/>
    <x v="0"/>
    <x v="1"/>
  </r>
  <r>
    <x v="56"/>
    <x v="10"/>
    <n v="1567"/>
    <x v="15"/>
    <n v="0"/>
    <x v="10"/>
    <n v="768"/>
    <x v="0"/>
    <x v="1"/>
  </r>
  <r>
    <x v="57"/>
    <x v="53"/>
    <n v="3810"/>
    <x v="26"/>
    <n v="0"/>
    <x v="10"/>
    <n v="1011"/>
    <x v="0"/>
    <x v="0"/>
  </r>
  <r>
    <x v="54"/>
    <x v="54"/>
    <n v="896"/>
    <x v="7"/>
    <n v="0"/>
    <x v="10"/>
    <n v="497"/>
    <x v="0"/>
    <x v="1"/>
  </r>
  <r>
    <x v="58"/>
    <x v="55"/>
    <n v="2500"/>
    <x v="34"/>
    <n v="6"/>
    <x v="13"/>
    <n v="330"/>
    <x v="3"/>
    <x v="2"/>
  </r>
  <r>
    <x v="59"/>
    <x v="56"/>
    <n v="986"/>
    <x v="20"/>
    <n v="10"/>
    <x v="14"/>
    <n v="528"/>
    <x v="2"/>
    <x v="1"/>
  </r>
  <r>
    <x v="60"/>
    <x v="57"/>
    <n v="4700"/>
    <x v="7"/>
    <n v="13"/>
    <x v="15"/>
    <n v="2585"/>
    <x v="3"/>
    <x v="1"/>
  </r>
  <r>
    <x v="61"/>
    <x v="58"/>
    <n v="873"/>
    <x v="15"/>
    <n v="69"/>
    <x v="16"/>
    <n v="428"/>
    <x v="3"/>
    <x v="1"/>
  </r>
  <r>
    <x v="62"/>
    <x v="59"/>
    <n v="680"/>
    <x v="24"/>
    <n v="15"/>
    <x v="17"/>
    <n v="355"/>
    <x v="3"/>
    <x v="1"/>
  </r>
  <r>
    <x v="63"/>
    <x v="60"/>
    <n v="1555"/>
    <x v="32"/>
    <n v="16"/>
    <x v="18"/>
    <n v="335"/>
    <x v="3"/>
    <x v="0"/>
  </r>
  <r>
    <x v="64"/>
    <x v="11"/>
    <n v="1814"/>
    <x v="8"/>
    <n v="6"/>
    <x v="19"/>
    <n v="824"/>
    <x v="3"/>
    <x v="1"/>
  </r>
  <r>
    <x v="65"/>
    <x v="61"/>
    <n v="2000"/>
    <x v="29"/>
    <n v="7"/>
    <x v="20"/>
    <n v="1000"/>
    <x v="3"/>
    <x v="1"/>
  </r>
  <r>
    <x v="66"/>
    <x v="62"/>
    <n v="6143"/>
    <x v="35"/>
    <n v="5"/>
    <x v="14"/>
    <n v="2393"/>
    <x v="2"/>
    <x v="0"/>
  </r>
  <r>
    <x v="67"/>
    <x v="63"/>
    <n v="700"/>
    <x v="8"/>
    <n v="17"/>
    <x v="21"/>
    <n v="318"/>
    <x v="3"/>
    <x v="1"/>
  </r>
  <r>
    <x v="68"/>
    <x v="64"/>
    <n v="3240"/>
    <x v="36"/>
    <n v="5"/>
    <x v="14"/>
    <n v="940"/>
    <x v="2"/>
    <x v="0"/>
  </r>
  <r>
    <x v="69"/>
    <x v="65"/>
    <n v="602"/>
    <x v="37"/>
    <n v="6"/>
    <x v="20"/>
    <n v="257"/>
    <x v="3"/>
    <x v="1"/>
  </r>
  <r>
    <x v="70"/>
    <x v="66"/>
    <n v="899"/>
    <x v="37"/>
    <n v="5"/>
    <x v="14"/>
    <n v="390"/>
    <x v="2"/>
    <x v="1"/>
  </r>
  <r>
    <x v="71"/>
    <x v="67"/>
    <n v="1814"/>
    <x v="1"/>
    <n v="6"/>
    <x v="19"/>
    <n v="846"/>
    <x v="3"/>
    <x v="1"/>
  </r>
  <r>
    <x v="72"/>
    <x v="68"/>
    <n v="2988"/>
    <x v="1"/>
    <n v="7"/>
    <x v="15"/>
    <n v="1418"/>
    <x v="3"/>
    <x v="1"/>
  </r>
  <r>
    <x v="73"/>
    <x v="69"/>
    <n v="1485"/>
    <x v="1"/>
    <n v="0"/>
    <x v="10"/>
    <n v="695"/>
    <x v="0"/>
    <x v="1"/>
  </r>
  <r>
    <x v="74"/>
    <x v="70"/>
    <n v="1200"/>
    <x v="37"/>
    <n v="0"/>
    <x v="10"/>
    <n v="510"/>
    <x v="0"/>
    <x v="1"/>
  </r>
  <r>
    <x v="75"/>
    <x v="71"/>
    <n v="1799"/>
    <x v="38"/>
    <n v="0"/>
    <x v="10"/>
    <n v="67"/>
    <x v="0"/>
    <x v="2"/>
  </r>
  <r>
    <x v="76"/>
    <x v="72"/>
    <n v="450"/>
    <x v="15"/>
    <n v="0"/>
    <x v="10"/>
    <n v="220"/>
    <x v="0"/>
    <x v="1"/>
  </r>
  <r>
    <x v="77"/>
    <x v="73"/>
    <n v="2199"/>
    <x v="14"/>
    <n v="1"/>
    <x v="14"/>
    <n v="1010"/>
    <x v="2"/>
    <x v="1"/>
  </r>
  <r>
    <x v="78"/>
    <x v="74"/>
    <n v="1920"/>
    <x v="15"/>
    <n v="1"/>
    <x v="8"/>
    <n v="941"/>
    <x v="0"/>
    <x v="1"/>
  </r>
  <r>
    <x v="79"/>
    <x v="75"/>
    <n v="2290"/>
    <x v="39"/>
    <n v="0"/>
    <x v="10"/>
    <n v="830"/>
    <x v="0"/>
    <x v="0"/>
  </r>
  <r>
    <x v="80"/>
    <x v="76"/>
    <n v="1699"/>
    <x v="30"/>
    <n v="0"/>
    <x v="10"/>
    <n v="33"/>
    <x v="0"/>
    <x v="2"/>
  </r>
  <r>
    <x v="81"/>
    <x v="77"/>
    <n v="647"/>
    <x v="15"/>
    <n v="1"/>
    <x v="5"/>
    <n v="317"/>
    <x v="2"/>
    <x v="1"/>
  </r>
  <r>
    <x v="48"/>
    <x v="78"/>
    <n v="345"/>
    <x v="15"/>
    <n v="0"/>
    <x v="10"/>
    <n v="169"/>
    <x v="0"/>
    <x v="1"/>
  </r>
  <r>
    <x v="82"/>
    <x v="79"/>
    <n v="1699"/>
    <x v="40"/>
    <n v="0"/>
    <x v="10"/>
    <n v="233"/>
    <x v="0"/>
    <x v="2"/>
  </r>
  <r>
    <x v="83"/>
    <x v="80"/>
    <n v="537"/>
    <x v="15"/>
    <n v="0"/>
    <x v="10"/>
    <n v="263"/>
    <x v="0"/>
    <x v="1"/>
  </r>
  <r>
    <x v="84"/>
    <x v="10"/>
    <n v="900"/>
    <x v="41"/>
    <n v="0"/>
    <x v="10"/>
    <n v="101"/>
    <x v="0"/>
    <x v="2"/>
  </r>
  <r>
    <x v="56"/>
    <x v="81"/>
    <n v="1288"/>
    <x v="15"/>
    <n v="0"/>
    <x v="10"/>
    <n v="631"/>
    <x v="0"/>
    <x v="1"/>
  </r>
  <r>
    <x v="85"/>
    <x v="82"/>
    <n v="1699"/>
    <x v="40"/>
    <n v="0"/>
    <x v="10"/>
    <n v="231"/>
    <x v="0"/>
    <x v="2"/>
  </r>
  <r>
    <x v="86"/>
    <x v="83"/>
    <n v="1100"/>
    <x v="37"/>
    <n v="0"/>
    <x v="10"/>
    <n v="470"/>
    <x v="0"/>
    <x v="1"/>
  </r>
  <r>
    <x v="87"/>
    <x v="84"/>
    <n v="1700"/>
    <x v="29"/>
    <n v="0"/>
    <x v="10"/>
    <n v="850"/>
    <x v="0"/>
    <x v="1"/>
  </r>
  <r>
    <x v="88"/>
    <x v="85"/>
    <n v="2500"/>
    <x v="25"/>
    <n v="0"/>
    <x v="10"/>
    <n v="1200"/>
    <x v="0"/>
    <x v="1"/>
  </r>
  <r>
    <x v="89"/>
    <x v="86"/>
    <n v="200"/>
    <x v="25"/>
    <n v="0"/>
    <x v="10"/>
    <n v="95"/>
    <x v="0"/>
    <x v="1"/>
  </r>
  <r>
    <x v="90"/>
    <x v="87"/>
    <n v="1699"/>
    <x v="1"/>
    <n v="0"/>
    <x v="10"/>
    <n v="800"/>
    <x v="0"/>
    <x v="1"/>
  </r>
  <r>
    <x v="91"/>
    <x v="46"/>
    <n v="2400"/>
    <x v="29"/>
    <n v="0"/>
    <x v="10"/>
    <n v="1200"/>
    <x v="0"/>
    <x v="1"/>
  </r>
  <r>
    <x v="92"/>
    <x v="88"/>
    <n v="1660"/>
    <x v="42"/>
    <n v="0"/>
    <x v="10"/>
    <n v="134"/>
    <x v="0"/>
    <x v="2"/>
  </r>
  <r>
    <x v="93"/>
    <x v="89"/>
    <n v="1499"/>
    <x v="30"/>
    <n v="0"/>
    <x v="10"/>
    <n v="37"/>
    <x v="0"/>
    <x v="2"/>
  </r>
  <r>
    <x v="94"/>
    <x v="90"/>
    <n v="486"/>
    <x v="15"/>
    <n v="0"/>
    <x v="10"/>
    <n v="238"/>
    <x v="0"/>
    <x v="1"/>
  </r>
  <r>
    <x v="95"/>
    <x v="91"/>
    <n v="3699"/>
    <x v="38"/>
    <n v="0"/>
    <x v="10"/>
    <n v="153"/>
    <x v="0"/>
    <x v="2"/>
  </r>
  <r>
    <x v="96"/>
    <x v="92"/>
    <n v="1029"/>
    <x v="15"/>
    <n v="0"/>
    <x v="10"/>
    <n v="504"/>
    <x v="0"/>
    <x v="1"/>
  </r>
  <r>
    <x v="97"/>
    <x v="93"/>
    <n v="1874"/>
    <x v="11"/>
    <n v="0"/>
    <x v="10"/>
    <n v="794"/>
    <x v="0"/>
    <x v="1"/>
  </r>
  <r>
    <x v="98"/>
    <x v="94"/>
    <n v="4588"/>
    <x v="43"/>
    <n v="1"/>
    <x v="8"/>
    <n v="948"/>
    <x v="0"/>
    <x v="0"/>
  </r>
  <r>
    <x v="99"/>
    <x v="95"/>
    <n v="2420"/>
    <x v="28"/>
    <n v="0"/>
    <x v="10"/>
    <n v="1000"/>
    <x v="0"/>
    <x v="1"/>
  </r>
  <r>
    <x v="100"/>
    <x v="96"/>
    <n v="1899"/>
    <x v="44"/>
    <n v="0"/>
    <x v="10"/>
    <n v="24"/>
    <x v="0"/>
    <x v="2"/>
  </r>
  <r>
    <x v="101"/>
    <x v="97"/>
    <n v="260"/>
    <x v="6"/>
    <n v="0"/>
    <x v="10"/>
    <n v="62"/>
    <x v="0"/>
    <x v="0"/>
  </r>
  <r>
    <x v="102"/>
    <x v="98"/>
    <n v="1737"/>
    <x v="10"/>
    <n v="0"/>
    <x v="10"/>
    <n v="587"/>
    <x v="0"/>
    <x v="0"/>
  </r>
  <r>
    <x v="103"/>
    <x v="44"/>
    <n v="1810"/>
    <x v="10"/>
    <n v="0"/>
    <x v="10"/>
    <n v="620"/>
    <x v="0"/>
    <x v="0"/>
  </r>
  <r>
    <x v="104"/>
    <x v="99"/>
    <n v="1699"/>
    <x v="30"/>
    <n v="0"/>
    <x v="10"/>
    <n v="41"/>
    <x v="0"/>
    <x v="2"/>
  </r>
  <r>
    <x v="105"/>
    <x v="100"/>
    <n v="1799"/>
    <x v="30"/>
    <n v="0"/>
    <x v="10"/>
    <n v="31"/>
    <x v="0"/>
    <x v="2"/>
  </r>
  <r>
    <x v="106"/>
    <x v="47"/>
    <n v="553"/>
    <x v="45"/>
    <n v="0"/>
    <x v="10"/>
    <n v="354"/>
    <x v="0"/>
    <x v="1"/>
  </r>
  <r>
    <x v="107"/>
    <x v="101"/>
    <n v="900"/>
    <x v="29"/>
    <n v="1"/>
    <x v="22"/>
    <n v="45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AAC57A-DC00-4615-AE10-05D49F2ADB52}" name="PivotTable3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1"/>
  <pivotFields count="9">
    <pivotField showAll="0"/>
    <pivotField numFmtId="1" showAll="0"/>
    <pivotField numFmtId="1" showAll="0"/>
    <pivotField dataField="1" numFmtId="9" showAll="0"/>
    <pivotField numFmtId="1" showAll="0"/>
    <pivotField dataField="1"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axis="axisRow" showAll="0">
      <items count="5">
        <item x="2"/>
        <item h="1" x="0"/>
        <item h="1" x="1"/>
        <item h="1" x="3"/>
        <item t="default"/>
      </items>
    </pivotField>
    <pivotField showAll="0">
      <items count="4">
        <item x="1"/>
        <item h="1" x="2"/>
        <item h="1" x="0"/>
        <item t="default"/>
      </items>
    </pivotField>
  </pivotFields>
  <rowFields count="1">
    <field x="7"/>
  </rowFields>
  <rowItems count="1">
    <i t="grand">
      <x/>
    </i>
  </rowItems>
  <colFields count="1">
    <field x="-2"/>
  </colFields>
  <colItems count="2">
    <i>
      <x/>
    </i>
    <i i="1">
      <x v="1"/>
    </i>
  </colItems>
  <dataFields count="2">
    <dataField name="Average of Discount" fld="3" subtotal="average" baseField="7" baseItem="0" numFmtId="9"/>
    <dataField name="Average of Ratings" fld="5" subtotal="average" baseField="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463CC-8882-4B64-B4FE-D649C69FC80B}"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 firstHeaderRow="1" firstDataRow="1" firstDataCol="1"/>
  <pivotFields count="9">
    <pivotField showAll="0"/>
    <pivotField numFmtId="1" showAll="0"/>
    <pivotField numFmtId="1" showAll="0"/>
    <pivotField numFmtId="9" showAll="0"/>
    <pivotField dataField="1"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axis="axisRow" showAll="0">
      <items count="4">
        <item x="1"/>
        <item h="1" x="2"/>
        <item h="1" x="0"/>
        <item t="default"/>
      </items>
    </pivotField>
  </pivotFields>
  <rowFields count="1">
    <field x="8"/>
  </rowFields>
  <rowItems count="1">
    <i t="grand">
      <x/>
    </i>
  </rowItems>
  <colItems count="1">
    <i/>
  </colItems>
  <dataFields count="1">
    <dataField name="Count of Review" fld="4"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0A2C2C-ADF1-48C4-AE57-9E087C637481}"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 firstHeaderRow="1" firstDataRow="1" firstDataCol="1"/>
  <pivotFields count="9">
    <pivotField showAll="0"/>
    <pivotField numFmtId="1" showAll="0"/>
    <pivotField numFmtId="1" showAll="0"/>
    <pivotField numFmtId="9" showAll="0"/>
    <pivotField dataField="1"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axis="axisRow" showAll="0">
      <items count="5">
        <item x="2"/>
        <item h="1" x="0"/>
        <item h="1" x="1"/>
        <item h="1" x="3"/>
        <item t="default"/>
      </items>
    </pivotField>
    <pivotField showAll="0">
      <items count="4">
        <item x="1"/>
        <item h="1" x="2"/>
        <item h="1" x="0"/>
        <item t="default"/>
      </items>
    </pivotField>
  </pivotFields>
  <rowFields count="1">
    <field x="7"/>
  </rowFields>
  <rowItems count="1">
    <i t="grand">
      <x/>
    </i>
  </rowItems>
  <colItems count="1">
    <i/>
  </colItems>
  <dataFields count="1">
    <dataField name="Count of Review" fld="4"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9BAA2E-030A-4217-893E-5266F4AFE307}"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9">
    <pivotField axis="axisRow" showAll="0" measureFilter="1" sortType="descending">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numFmtId="1" showAll="0"/>
    <pivotField dataField="1"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1">
    <i t="grand">
      <x/>
    </i>
  </rowItems>
  <colItems count="1">
    <i/>
  </colItems>
  <dataFields count="1">
    <dataField name="Average of Ratings" fld="5" subtotal="average" baseField="0" baseItem="40" numFmtId="164"/>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4C89E-933E-4523-9E01-AEF41FF39A47}"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9">
    <pivotField axis="axisRow" showAll="0" measureFilter="1" sortType="ascending">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numFmtId="1" showAll="0"/>
    <pivotField dataField="1"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1">
    <i t="grand">
      <x/>
    </i>
  </rowItems>
  <colItems count="1">
    <i/>
  </colItems>
  <dataFields count="1">
    <dataField name="Average of Ratings" fld="5" subtotal="average" baseField="0" baseItem="0" numFmtId="164"/>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A7323-C330-4914-BED3-7F87BA981EE4}" name="PivotTable3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9">
    <pivotField axis="axisRow" showAll="0" measureFilter="1" sortType="descending">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9" showAll="0"/>
    <pivotField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1">
    <i t="grand">
      <x/>
    </i>
  </rowItems>
  <colItems count="1">
    <i/>
  </colItems>
  <dataFields count="1">
    <dataField name="Average of Discount" fld="3" subtotal="average"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8596A3-9F1B-4334-896F-93280DE9F64F}" name="PivotTable3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9">
    <pivotField axis="axisRow" showAll="0" measureFilter="1" sortType="descending">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dataField="1"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1">
    <i t="grand">
      <x/>
    </i>
  </rowItems>
  <colItems count="1">
    <i/>
  </colItems>
  <dataFields count="1">
    <dataField name="Average of Review" fld="4" subtotal="average" baseField="0" baseItem="0" numFmtId="1"/>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9596EC-2ECB-4FD7-AF0A-497202757FD1}" name="PivotTable3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4" firstHeaderRow="0" firstDataRow="1" firstDataCol="1"/>
  <pivotFields count="9">
    <pivotField showAll="0"/>
    <pivotField numFmtId="1" showAll="0"/>
    <pivotField numFmtId="1" showAll="0"/>
    <pivotField numFmtId="9" showAll="0"/>
    <pivotField dataField="1" numFmtId="1" showAll="0"/>
    <pivotField dataField="1"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axis="axisRow" showAll="0">
      <items count="4">
        <item x="1"/>
        <item h="1" x="2"/>
        <item h="1" x="0"/>
        <item t="default"/>
      </items>
    </pivotField>
  </pivotFields>
  <rowFields count="1">
    <field x="8"/>
  </rowFields>
  <rowItems count="1">
    <i t="grand">
      <x/>
    </i>
  </rowItems>
  <colFields count="1">
    <field x="-2"/>
  </colFields>
  <colItems count="2">
    <i>
      <x/>
    </i>
    <i i="1">
      <x v="1"/>
    </i>
  </colItems>
  <dataFields count="2">
    <dataField name="Count of Review" fld="4" subtotal="count" baseField="8" baseItem="0"/>
    <dataField name="Average of Ratings" fld="5" subtotal="average" baseField="8"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6196A7-2C53-418B-8D0C-CEA38DC797FB}" name="PivotTable3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 firstHeaderRow="1" firstDataRow="1" firstDataCol="1"/>
  <pivotFields count="9">
    <pivotField dataField="1" showAll="0"/>
    <pivotField numFmtId="1" showAll="0"/>
    <pivotField numFmtId="1" showAll="0"/>
    <pivotField numFmtId="9" showAll="0"/>
    <pivotField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axis="axisRow" showAll="0">
      <items count="5">
        <item x="2"/>
        <item h="1" x="0"/>
        <item h="1" x="1"/>
        <item h="1" x="3"/>
        <item t="default"/>
      </items>
    </pivotField>
    <pivotField showAll="0">
      <items count="4">
        <item x="1"/>
        <item h="1" x="2"/>
        <item h="1" x="0"/>
        <item t="default"/>
      </items>
    </pivotField>
  </pivotFields>
  <rowFields count="1">
    <field x="7"/>
  </rowFields>
  <rowItems count="1">
    <i t="grand">
      <x/>
    </i>
  </rowItems>
  <colItems count="1">
    <i/>
  </colItems>
  <dataFields count="1">
    <dataField name="Count of Produc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E9518A-C691-48CF-88AF-A5C91FA28611}" name="PivotTable4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9">
    <pivotField axis="axisRow" showAll="0" measureFilter="1" sortType="descending">
      <items count="109">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numFmtId="1" showAll="0"/>
    <pivotField dataField="1"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1">
    <i t="grand">
      <x/>
    </i>
  </rowItems>
  <colItems count="1">
    <i/>
  </colItems>
  <dataFields count="1">
    <dataField name="Average of Ratings" fld="5" subtotal="average" baseField="0" baseItem="0" numFmtId="164"/>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9CBC80-AE8F-4412-9046-BBD4F08F747A}" name="PivotTable4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 firstHeaderRow="1" firstDataRow="1" firstDataCol="1"/>
  <pivotFields count="9">
    <pivotField dataField="1" showAll="0">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items count="103">
        <item x="19"/>
        <item x="86"/>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numFmtId="1"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numFmtId="1" showAll="0"/>
    <pivotField numFmtId="164" showAll="0">
      <items count="24">
        <item h="1" x="10"/>
        <item h="1" x="22"/>
        <item h="1" x="15"/>
        <item h="1" x="19"/>
        <item h="1" x="20"/>
        <item h="1" x="13"/>
        <item x="21"/>
        <item h="1" x="17"/>
        <item h="1" x="16"/>
        <item h="1" x="18"/>
        <item h="1" x="14"/>
        <item h="1" x="9"/>
        <item h="1" x="6"/>
        <item h="1" x="5"/>
        <item h="1" x="1"/>
        <item h="1" x="7"/>
        <item h="1" x="12"/>
        <item h="1" x="11"/>
        <item h="1" x="0"/>
        <item h="1" x="2"/>
        <item h="1" x="3"/>
        <item h="1" x="4"/>
        <item h="1" x="8"/>
        <item t="default"/>
      </items>
    </pivotField>
    <pivotField numFmtId="164" showAll="0"/>
    <pivotField showAll="0">
      <items count="5">
        <item x="2"/>
        <item h="1" x="0"/>
        <item h="1" x="1"/>
        <item h="1" x="3"/>
        <item t="default"/>
      </items>
    </pivotField>
    <pivotField axis="axisRow" showAll="0">
      <items count="4">
        <item x="1"/>
        <item h="1" x="2"/>
        <item h="1" x="0"/>
        <item t="default"/>
      </items>
    </pivotField>
  </pivotFields>
  <rowFields count="1">
    <field x="8"/>
  </rowFields>
  <rowItems count="1">
    <i t="grand">
      <x/>
    </i>
  </rowItems>
  <colItems count="1">
    <i/>
  </colItems>
  <dataFields count="1">
    <dataField name="Count of Produc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F88EFF-8FC5-4F7F-9354-D17937B9B0E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9">
    <pivotField axis="axisRow" showAll="0" sortType="descending">
      <items count="109">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1"/>
            </reference>
          </references>
        </pivotArea>
      </autoSortScope>
    </pivotField>
    <pivotField numFmtId="1" showAll="0"/>
    <pivotField numFmtId="1" showAll="0"/>
    <pivotField dataField="1" numFmtId="9" showAll="0"/>
    <pivotField numFmtId="1" showAll="0"/>
    <pivotField dataField="1" numFmtId="164" showAll="0"/>
    <pivotField numFmtId="164" showAll="0"/>
    <pivotField showAll="0">
      <items count="5">
        <item x="2"/>
        <item h="1" x="0"/>
        <item h="1" x="1"/>
        <item h="1" x="3"/>
        <item t="default"/>
      </items>
    </pivotField>
    <pivotField showAll="0">
      <items count="4">
        <item x="1"/>
        <item h="1" x="2"/>
        <item h="1" x="0"/>
        <item t="default"/>
      </items>
    </pivotField>
  </pivotFields>
  <rowFields count="1">
    <field x="0"/>
  </rowFields>
  <rowItems count="7">
    <i>
      <x v="62"/>
    </i>
    <i>
      <x v="7"/>
    </i>
    <i>
      <x v="20"/>
    </i>
    <i>
      <x v="83"/>
    </i>
    <i>
      <x v="107"/>
    </i>
    <i>
      <x v="75"/>
    </i>
    <i t="grand">
      <x/>
    </i>
  </rowItems>
  <colFields count="1">
    <field x="-2"/>
  </colFields>
  <colItems count="2">
    <i>
      <x/>
    </i>
    <i i="1">
      <x v="1"/>
    </i>
  </colItems>
  <dataFields count="2">
    <dataField name="Average of Discount" fld="3" subtotal="average" baseField="0" baseItem="0" numFmtId="9"/>
    <dataField name="Average of Ratings"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08F7B864-D49D-4EF0-AF4C-DC1E85E9D25A}" sourceName="Discount">
  <pivotTables>
    <pivotTable tabId="11" name="PivotTable40"/>
  </pivotTables>
  <data>
    <tabular pivotCacheId="2140374311">
      <items count="46">
        <i x="44" s="1" nd="1"/>
        <i x="30" s="1" nd="1"/>
        <i x="33" s="1" nd="1"/>
        <i x="38" s="1" nd="1"/>
        <i x="42" s="1" nd="1"/>
        <i x="5" s="1" nd="1"/>
        <i x="41" s="1" nd="1"/>
        <i x="34" s="1" nd="1"/>
        <i x="40" s="1" nd="1"/>
        <i x="21" s="1" nd="1"/>
        <i x="16" s="1" nd="1"/>
        <i x="9" s="1" nd="1"/>
        <i x="43" s="1" nd="1"/>
        <i x="32" s="1" nd="1"/>
        <i x="19" s="1" nd="1"/>
        <i x="6" s="1" nd="1"/>
        <i x="2" s="1" nd="1"/>
        <i x="4" s="1" nd="1"/>
        <i x="26" s="1" nd="1"/>
        <i x="36" s="1" nd="1"/>
        <i x="23" s="1" nd="1"/>
        <i x="22" s="1" nd="1"/>
        <i x="12" s="1" nd="1"/>
        <i x="10" s="1" nd="1"/>
        <i x="18" s="1" nd="1"/>
        <i x="39" s="1" nd="1"/>
        <i x="3" s="1" nd="1"/>
        <i x="0" s="1" nd="1"/>
        <i x="35" s="1" nd="1"/>
        <i x="27" s="1" nd="1"/>
        <i x="28" s="1" nd="1"/>
        <i x="11" s="1" nd="1"/>
        <i x="37" s="1" nd="1"/>
        <i x="8" s="1" nd="1"/>
        <i x="14" s="1" nd="1"/>
        <i x="1" s="1" nd="1"/>
        <i x="25" s="1" nd="1"/>
        <i x="15" s="1" nd="1"/>
        <i x="29" s="1" nd="1"/>
        <i x="13" s="1" nd="1"/>
        <i x="24" s="1" nd="1"/>
        <i x="17" s="1" nd="1"/>
        <i x="20" s="1" nd="1"/>
        <i x="7" s="1" nd="1"/>
        <i x="31" s="1" nd="1"/>
        <i x="4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5466695D-E6B0-4B4C-8804-99F1D6193367}" sourceName="Ratings">
  <pivotTables>
    <pivotTable tabId="11" name="PivotTable40"/>
    <pivotTable tabId="7" name="PivotTable36"/>
    <pivotTable tabId="8" name="PivotTable37"/>
    <pivotTable tabId="2" name="PivotTable31"/>
    <pivotTable tabId="3" name="PivotTable32"/>
    <pivotTable tabId="9" name="PivotTable38"/>
    <pivotTable tabId="10" name="PivotTable39"/>
    <pivotTable tabId="4" name="PivotTable33"/>
    <pivotTable tabId="13" name="PivotTable43"/>
    <pivotTable tabId="5" name="PivotTable34"/>
    <pivotTable tabId="6" name="PivotTable35"/>
  </pivotTables>
  <data>
    <tabular pivotCacheId="2140374311">
      <items count="23">
        <i x="14"/>
        <i x="9"/>
        <i x="6"/>
        <i x="5"/>
        <i x="10" nd="1"/>
        <i x="22" nd="1"/>
        <i x="15" nd="1"/>
        <i x="19" nd="1"/>
        <i x="20" nd="1"/>
        <i x="13" nd="1"/>
        <i x="21" s="1" nd="1"/>
        <i x="17" nd="1"/>
        <i x="16" nd="1"/>
        <i x="18" nd="1"/>
        <i x="1" nd="1"/>
        <i x="7" nd="1"/>
        <i x="12" nd="1"/>
        <i x="11" nd="1"/>
        <i x="0" nd="1"/>
        <i x="2" nd="1"/>
        <i x="3" nd="1"/>
        <i x="4"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1E9BD08-4C6F-4C56-9C7A-98477EDEB33D}" sourceName="Rating Category">
  <pivotTables>
    <pivotTable tabId="11" name="PivotTable40"/>
    <pivotTable tabId="7" name="PivotTable36"/>
    <pivotTable tabId="8" name="PivotTable37"/>
    <pivotTable tabId="2" name="PivotTable31"/>
    <pivotTable tabId="3" name="PivotTable32"/>
    <pivotTable tabId="9" name="PivotTable38"/>
    <pivotTable tabId="10" name="PivotTable39"/>
    <pivotTable tabId="4" name="PivotTable33"/>
    <pivotTable tabId="13" name="PivotTable43"/>
    <pivotTable tabId="5" name="PivotTable34"/>
    <pivotTable tabId="6" name="PivotTable35"/>
    <pivotTable tabId="14" name="PivotTable1"/>
  </pivotTables>
  <data>
    <tabular pivotCacheId="2140374311">
      <items count="4">
        <i x="2" s="1"/>
        <i x="0"/>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B8E6BE8E-7043-480D-9D3B-E3187E175CBE}" sourceName="Discount Category">
  <pivotTables>
    <pivotTable tabId="11" name="PivotTable40"/>
    <pivotTable tabId="7" name="PivotTable36"/>
    <pivotTable tabId="8" name="PivotTable37"/>
    <pivotTable tabId="2" name="PivotTable31"/>
    <pivotTable tabId="3" name="PivotTable32"/>
    <pivotTable tabId="9" name="PivotTable38"/>
    <pivotTable tabId="10" name="PivotTable39"/>
    <pivotTable tabId="4" name="PivotTable33"/>
    <pivotTable tabId="13" name="PivotTable43"/>
    <pivotTable tabId="5" name="PivotTable34"/>
    <pivotTable tabId="6" name="PivotTable35"/>
    <pivotTable tabId="14" name="PivotTable1"/>
  </pivotTables>
  <data>
    <tabular pivotCacheId="2140374311">
      <items count="3">
        <i x="1" s="1"/>
        <i x="2"/>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3DD37B-B1E5-4D36-9412-46DED9D4D3E6}" sourceName="Product">
  <pivotTables>
    <pivotTable tabId="11" name="PivotTable40"/>
  </pivotTables>
  <data>
    <tabular pivotCacheId="2140374311">
      <items count="108">
        <i x="38" s="1" nd="1"/>
        <i x="11" s="1" nd="1"/>
        <i x="0" s="1" nd="1"/>
        <i x="27" s="1" nd="1"/>
        <i x="31" s="1" nd="1"/>
        <i x="61" s="1" nd="1"/>
        <i x="57" s="1" nd="1"/>
        <i x="9" s="1" nd="1"/>
        <i x="6" s="1" nd="1"/>
        <i x="101" s="1" nd="1"/>
        <i x="80" s="1" nd="1"/>
        <i x="5" s="1" nd="1"/>
        <i x="100" s="1" nd="1"/>
        <i x="91" s="1" nd="1"/>
        <i x="47" s="1" nd="1"/>
        <i x="73" s="1" nd="1"/>
        <i x="66" s="1" nd="1"/>
        <i x="65" s="1" nd="1"/>
        <i x="19" s="1" nd="1"/>
        <i x="74" s="1" nd="1"/>
        <i x="20" s="1" nd="1"/>
        <i x="94" s="1" nd="1"/>
        <i x="12" s="1" nd="1"/>
        <i x="40" s="1" nd="1"/>
        <i x="21" s="1" nd="1"/>
        <i x="58" s="1" nd="1"/>
        <i x="28" s="1" nd="1"/>
        <i x="34" s="1" nd="1"/>
        <i x="33" s="1" nd="1"/>
        <i x="79" s="1" nd="1"/>
        <i x="60" s="1" nd="1"/>
        <i x="106" s="1" nd="1"/>
        <i x="90" s="1" nd="1"/>
        <i x="45" s="1" nd="1"/>
        <i x="76" s="1" nd="1"/>
        <i x="71" s="1" nd="1"/>
        <i x="97" s="1" nd="1"/>
        <i x="99" s="1" nd="1"/>
        <i x="67" s="1" nd="1"/>
        <i x="56" s="1" nd="1"/>
        <i x="15" s="1" nd="1"/>
        <i x="64" s="1" nd="1"/>
        <i x="96" s="1" nd="1"/>
        <i x="42" s="1" nd="1"/>
        <i x="78" s="1" nd="1"/>
        <i x="49" s="1" nd="1"/>
        <i x="46" s="1" nd="1"/>
        <i x="83" s="1" nd="1"/>
        <i x="103" s="1" nd="1"/>
        <i x="44" s="1" nd="1"/>
        <i x="55" s="1" nd="1"/>
        <i x="36" s="1" nd="1"/>
        <i x="48" s="1" nd="1"/>
        <i x="75" s="1" nd="1"/>
        <i x="53" s="1" nd="1"/>
        <i x="7" s="1" nd="1"/>
        <i x="35" s="1" nd="1"/>
        <i x="72" s="1" nd="1"/>
        <i x="25" s="1" nd="1"/>
        <i x="30" s="1" nd="1"/>
        <i x="23" s="1" nd="1"/>
        <i x="10" s="1" nd="1"/>
        <i x="81" s="1" nd="1"/>
        <i x="62" s="1" nd="1"/>
        <i x="98" s="1" nd="1"/>
        <i x="68" s="1" nd="1"/>
        <i x="24" s="1" nd="1"/>
        <i x="17" s="1" nd="1"/>
        <i x="13" s="1" nd="1"/>
        <i x="8" s="1" nd="1"/>
        <i x="39" s="1" nd="1"/>
        <i x="32" s="1" nd="1"/>
        <i x="22" s="1" nd="1"/>
        <i x="102" s="1" nd="1"/>
        <i x="18" s="1" nd="1"/>
        <i x="77" s="1" nd="1"/>
        <i x="1" s="1" nd="1"/>
        <i x="95" s="1" nd="1"/>
        <i x="41" s="1" nd="1"/>
        <i x="14" s="1" nd="1"/>
        <i x="86" s="1" nd="1"/>
        <i x="29" s="1" nd="1"/>
        <i x="52" s="1" nd="1"/>
        <i x="59" s="1" nd="1"/>
        <i x="82" s="1" nd="1"/>
        <i x="84" s="1" nd="1"/>
        <i x="16" s="1" nd="1"/>
        <i x="50" s="1" nd="1"/>
        <i x="51" s="1" nd="1"/>
        <i x="4" s="1" nd="1"/>
        <i x="2" s="1" nd="1"/>
        <i x="93" s="1" nd="1"/>
        <i x="26" s="1" nd="1"/>
        <i x="88" s="1" nd="1"/>
        <i x="37" s="1" nd="1"/>
        <i x="89" s="1" nd="1"/>
        <i x="43" s="1" nd="1"/>
        <i x="104" s="1" nd="1"/>
        <i x="54" s="1" nd="1"/>
        <i x="105" s="1" nd="1"/>
        <i x="63" s="1" nd="1"/>
        <i x="87" s="1" nd="1"/>
        <i x="92" s="1" nd="1"/>
        <i x="107" s="1" nd="1"/>
        <i x="85" s="1" nd="1"/>
        <i x="69" s="1" nd="1"/>
        <i x="3" s="1" nd="1"/>
        <i x="7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888E8B39-6533-46E7-B90F-F93EDD4A4593}" sourceName="Current price">
  <pivotTables>
    <pivotTable tabId="11" name="PivotTable40"/>
  </pivotTables>
  <data>
    <tabular pivotCacheId="2140374311">
      <items count="102">
        <i x="19" s="1" nd="1"/>
        <i x="86" s="1" nd="1"/>
        <i x="35" s="1" nd="1"/>
        <i x="78" s="1" nd="1"/>
        <i x="29" s="1" nd="1"/>
        <i x="16" s="1" nd="1"/>
        <i x="97" s="1" nd="1"/>
        <i x="47" s="1" nd="1"/>
        <i x="72" s="1" nd="1"/>
        <i x="40" s="1" nd="1"/>
        <i x="90" s="1" nd="1"/>
        <i x="80" s="1" nd="1"/>
        <i x="48" s="1" nd="1"/>
        <i x="59" s="1" nd="1"/>
        <i x="77" s="1" nd="1"/>
        <i x="15" s="1" nd="1"/>
        <i x="65" s="1" nd="1"/>
        <i x="63" s="1" nd="1"/>
        <i x="36" s="1" nd="1"/>
        <i x="54" s="1" nd="1"/>
        <i x="24" s="1" nd="1"/>
        <i x="58" s="1" nd="1"/>
        <i x="101" s="1" nd="1"/>
        <i x="56" s="1" nd="1"/>
        <i x="39" s="1" nd="1"/>
        <i x="51" s="1" nd="1"/>
        <i x="13" s="1" nd="1"/>
        <i x="66" s="1" nd="1"/>
        <i x="92" s="1" nd="1"/>
        <i x="1" s="1" nd="1"/>
        <i x="12" s="1" nd="1"/>
        <i x="41" s="1" nd="1"/>
        <i x="83" s="1" nd="1"/>
        <i x="81" s="1" nd="1"/>
        <i x="45" s="1" nd="1"/>
        <i x="70" s="1" nd="1"/>
        <i x="52" s="1" nd="1"/>
        <i x="69" s="1" nd="1"/>
        <i x="10" s="1" nd="1"/>
        <i x="84" s="1" nd="1"/>
        <i x="21" s="1" nd="1"/>
        <i x="87" s="1" nd="1"/>
        <i x="0" s="1" nd="1"/>
        <i x="67" s="1" nd="1"/>
        <i x="74" s="1" nd="1"/>
        <i x="30" s="1" nd="1"/>
        <i x="7" s="1" nd="1"/>
        <i x="11" s="1" nd="1"/>
        <i x="18" s="1" nd="1"/>
        <i x="43" s="1" nd="1"/>
        <i x="61" s="1" nd="1"/>
        <i x="93" s="1" nd="1"/>
        <i x="98" s="1" nd="1"/>
        <i x="73" s="1" nd="1"/>
        <i x="44" s="1" nd="1"/>
        <i x="46" s="1" nd="1"/>
        <i x="60" s="1" nd="1"/>
        <i x="8" s="1" nd="1"/>
        <i x="85" s="1" nd="1"/>
        <i x="26" s="1" nd="1"/>
        <i x="95" s="1" nd="1"/>
        <i x="50" s="1" nd="1"/>
        <i x="75" s="1" nd="1"/>
        <i x="89" s="1" nd="1"/>
        <i x="79" s="1" nd="1"/>
        <i x="82" s="1" nd="1"/>
        <i x="88" s="1" nd="1"/>
        <i x="68" s="1" nd="1"/>
        <i x="3" s="1" nd="1"/>
        <i x="9" s="1" nd="1"/>
        <i x="34" s="1" nd="1"/>
        <i x="22" s="1" nd="1"/>
        <i x="99" s="1" nd="1"/>
        <i x="49" s="1" nd="1"/>
        <i x="76" s="1" nd="1"/>
        <i x="14" s="1" nd="1"/>
        <i x="71" s="1" nd="1"/>
        <i x="4" s="1" nd="1"/>
        <i x="27" s="1" nd="1"/>
        <i x="100" s="1" nd="1"/>
        <i x="37" s="1" nd="1"/>
        <i x="31" s="1" nd="1"/>
        <i x="20" s="1" nd="1"/>
        <i x="96" s="1" nd="1"/>
        <i x="32" s="1" nd="1"/>
        <i x="33" s="1" nd="1"/>
        <i x="17" s="1" nd="1"/>
        <i x="23" s="1" nd="1"/>
        <i x="57" s="1" nd="1"/>
        <i x="42" s="1" nd="1"/>
        <i x="55" s="1" nd="1"/>
        <i x="2" s="1" nd="1"/>
        <i x="28" s="1" nd="1"/>
        <i x="64" s="1" nd="1"/>
        <i x="6" s="1" nd="1"/>
        <i x="38" s="1" nd="1"/>
        <i x="53" s="1" nd="1"/>
        <i x="25" s="1" nd="1"/>
        <i x="5" s="1" nd="1"/>
        <i x="91" s="1" nd="1"/>
        <i x="94" s="1" nd="1"/>
        <i x="6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7C5E53C2-7E76-476A-8922-1E7F5F38DAC3}" cache="Slicer_Discount" caption="Discount" rowHeight="251883"/>
  <slicer name="Ratings" xr10:uid="{4C4081D7-88F7-4407-87F8-C8C5DE26EB29}" cache="Slicer_Ratings" caption="Ratings" rowHeight="251883"/>
  <slicer name="Rating Category" xr10:uid="{4D7965F9-464F-4468-84B2-31B3914D1A26}" cache="Slicer_Rating_Category" caption="Rating Category" rowHeight="251883"/>
  <slicer name="Rating Category 1" xr10:uid="{AB34CC67-7130-4F0E-B5D7-E881D0F5F19D}" cache="Slicer_Rating_Category" caption="Rating Category" rowHeight="251883"/>
  <slicer name="Rating Category 3" xr10:uid="{0352CFED-1FA6-4068-96D5-1D920950F946}" cache="Slicer_Rating_Category" caption="Rating Category" rowHeight="251883"/>
  <slicer name="Discount Category" xr10:uid="{DD761244-B823-4C59-A733-364A31FD9934}" cache="Slicer_Discount_Category" caption="Discount Category" rowHeight="251883"/>
  <slicer name="Discount Category 1" xr10:uid="{93F3D746-1A31-4789-8F89-B806F708FFDD}" cache="Slicer_Discount_Category" caption="Discount Category" rowHeight="251883"/>
  <slicer name="Product" xr10:uid="{0D76CF3F-22A8-4633-9205-D730AB3482B7}" cache="Slicer_Product" caption="Product" rowHeight="251883"/>
  <slicer name="Current price" xr10:uid="{20CC3376-312F-40E9-94C2-56CEA4577DAB}" cache="Slicer_Current_price" caption="Current price" startItem="9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24ADBE05-F08E-43C5-8A33-CA06D5C249CB}" cache="Slicer_Rating_Category" caption="Rating Category" rowHeight="251883"/>
  <slicer name="Discount Category 2" xr10:uid="{B2B7F40A-FC57-49B8-B54E-9D511B6784EE}" cache="Slicer_Discount_Category" caption="Discount 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6D24-0991-42CD-8096-8F6C7525CCE0}">
  <dimension ref="A3:C4"/>
  <sheetViews>
    <sheetView workbookViewId="0">
      <selection activeCell="C3" sqref="C3"/>
    </sheetView>
  </sheetViews>
  <sheetFormatPr defaultRowHeight="14.5" x14ac:dyDescent="0.35"/>
  <cols>
    <col min="1" max="1" width="12.453125" bestFit="1" customWidth="1"/>
    <col min="2" max="2" width="17.453125" bestFit="1" customWidth="1"/>
    <col min="3" max="3" width="16.08984375" bestFit="1" customWidth="1"/>
  </cols>
  <sheetData>
    <row r="3" spans="1:3" x14ac:dyDescent="0.35">
      <c r="A3" s="4" t="s">
        <v>125</v>
      </c>
      <c r="B3" t="s">
        <v>127</v>
      </c>
      <c r="C3" t="s">
        <v>128</v>
      </c>
    </row>
    <row r="4" spans="1:3" x14ac:dyDescent="0.35">
      <c r="A4" s="5" t="s">
        <v>126</v>
      </c>
      <c r="B4" s="1"/>
      <c r="C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1E47-1A82-46D3-BA32-D9BCD6BE6B78}">
  <dimension ref="A3:B4"/>
  <sheetViews>
    <sheetView workbookViewId="0">
      <selection activeCell="B5" sqref="B5"/>
    </sheetView>
  </sheetViews>
  <sheetFormatPr defaultRowHeight="14.5" x14ac:dyDescent="0.35"/>
  <cols>
    <col min="1" max="1" width="12.453125" bestFit="1" customWidth="1"/>
    <col min="2" max="2" width="14.36328125" bestFit="1" customWidth="1"/>
    <col min="3" max="3" width="13.08984375" bestFit="1" customWidth="1"/>
  </cols>
  <sheetData>
    <row r="3" spans="1:2" x14ac:dyDescent="0.35">
      <c r="A3" s="4" t="s">
        <v>125</v>
      </c>
      <c r="B3" t="s">
        <v>130</v>
      </c>
    </row>
    <row r="4" spans="1:2" x14ac:dyDescent="0.35">
      <c r="A4" s="5" t="s">
        <v>126</v>
      </c>
      <c r="B4" s="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2311-D21A-41F1-B6AC-B7ADBEB7E198}">
  <dimension ref="A3:B4"/>
  <sheetViews>
    <sheetView workbookViewId="0">
      <selection activeCell="B6" sqref="B6"/>
    </sheetView>
  </sheetViews>
  <sheetFormatPr defaultRowHeight="14.5" x14ac:dyDescent="0.35"/>
  <cols>
    <col min="1" max="1" width="12.453125" bestFit="1" customWidth="1"/>
    <col min="2" max="2" width="14.36328125" bestFit="1" customWidth="1"/>
  </cols>
  <sheetData>
    <row r="3" spans="1:2" x14ac:dyDescent="0.35">
      <c r="A3" s="4" t="s">
        <v>125</v>
      </c>
      <c r="B3" t="s">
        <v>130</v>
      </c>
    </row>
    <row r="4" spans="1:2" x14ac:dyDescent="0.35">
      <c r="A4" s="5" t="s">
        <v>126</v>
      </c>
      <c r="B4" s="1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0DBB-C1E5-42C7-9FD5-2900245A80A3}">
  <dimension ref="A3:B4"/>
  <sheetViews>
    <sheetView workbookViewId="0">
      <selection activeCell="B15" sqref="B15"/>
    </sheetView>
  </sheetViews>
  <sheetFormatPr defaultRowHeight="14.5" x14ac:dyDescent="0.35"/>
  <cols>
    <col min="1" max="1" width="12.453125" bestFit="1" customWidth="1"/>
    <col min="2" max="2" width="16.08984375" bestFit="1" customWidth="1"/>
    <col min="3" max="24" width="3.36328125" bestFit="1" customWidth="1"/>
    <col min="25" max="25" width="10.36328125" bestFit="1" customWidth="1"/>
  </cols>
  <sheetData>
    <row r="3" spans="1:2" x14ac:dyDescent="0.35">
      <c r="A3" s="4" t="s">
        <v>125</v>
      </c>
      <c r="B3" t="s">
        <v>128</v>
      </c>
    </row>
    <row r="4" spans="1:2" x14ac:dyDescent="0.35">
      <c r="A4" s="5" t="s">
        <v>126</v>
      </c>
      <c r="B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8E348-4BE6-426D-B6A2-FE9828B36452}">
  <dimension ref="A3:B4"/>
  <sheetViews>
    <sheetView topLeftCell="AE1" workbookViewId="0">
      <selection activeCell="B4" sqref="B4"/>
    </sheetView>
  </sheetViews>
  <sheetFormatPr defaultRowHeight="14.5" x14ac:dyDescent="0.35"/>
  <cols>
    <col min="1" max="1" width="12.453125" bestFit="1" customWidth="1"/>
    <col min="2" max="2" width="16.08984375" bestFit="1" customWidth="1"/>
  </cols>
  <sheetData>
    <row r="3" spans="1:2" x14ac:dyDescent="0.35">
      <c r="A3" s="4" t="s">
        <v>125</v>
      </c>
      <c r="B3" t="s">
        <v>128</v>
      </c>
    </row>
    <row r="4" spans="1:2" x14ac:dyDescent="0.35">
      <c r="A4" s="5" t="s">
        <v>126</v>
      </c>
      <c r="B4"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1CF7-AD3C-49A5-8FE9-E913AFAAE62C}">
  <dimension ref="A2:B4"/>
  <sheetViews>
    <sheetView workbookViewId="0">
      <selection activeCell="B3" sqref="B3"/>
    </sheetView>
  </sheetViews>
  <sheetFormatPr defaultRowHeight="14.5" x14ac:dyDescent="0.35"/>
  <cols>
    <col min="1" max="1" width="12.453125" bestFit="1" customWidth="1"/>
    <col min="2" max="2" width="17.453125" bestFit="1" customWidth="1"/>
  </cols>
  <sheetData>
    <row r="2" spans="1:2" x14ac:dyDescent="0.35">
      <c r="A2" s="8" t="s">
        <v>134</v>
      </c>
    </row>
    <row r="3" spans="1:2" x14ac:dyDescent="0.35">
      <c r="A3" s="4" t="s">
        <v>125</v>
      </c>
      <c r="B3" t="s">
        <v>127</v>
      </c>
    </row>
    <row r="4" spans="1:2" x14ac:dyDescent="0.35">
      <c r="A4" s="5" t="s">
        <v>126</v>
      </c>
      <c r="B4"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CEDE-B8B2-404C-B0E4-D83C20441CBD}">
  <dimension ref="A2:B4"/>
  <sheetViews>
    <sheetView workbookViewId="0">
      <selection activeCell="A2" sqref="A2:B14"/>
    </sheetView>
  </sheetViews>
  <sheetFormatPr defaultRowHeight="14.5" x14ac:dyDescent="0.35"/>
  <cols>
    <col min="1" max="1" width="12.453125" bestFit="1" customWidth="1"/>
    <col min="2" max="2" width="15.81640625" bestFit="1" customWidth="1"/>
  </cols>
  <sheetData>
    <row r="2" spans="1:2" x14ac:dyDescent="0.35">
      <c r="A2" s="7" t="s">
        <v>132</v>
      </c>
    </row>
    <row r="3" spans="1:2" x14ac:dyDescent="0.35">
      <c r="A3" s="4" t="s">
        <v>125</v>
      </c>
      <c r="B3" t="s">
        <v>129</v>
      </c>
    </row>
    <row r="4" spans="1:2" x14ac:dyDescent="0.35">
      <c r="A4" s="5" t="s">
        <v>126</v>
      </c>
      <c r="B4"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B354-F0B1-452A-A661-8EF6A4C4AA34}">
  <dimension ref="A3:C4"/>
  <sheetViews>
    <sheetView workbookViewId="0">
      <selection activeCell="L14" sqref="L14"/>
    </sheetView>
  </sheetViews>
  <sheetFormatPr defaultRowHeight="14.5" x14ac:dyDescent="0.35"/>
  <cols>
    <col min="1" max="1" width="12.453125" bestFit="1" customWidth="1"/>
    <col min="2" max="2" width="14.36328125" bestFit="1" customWidth="1"/>
    <col min="3" max="3" width="16.08984375" bestFit="1" customWidth="1"/>
  </cols>
  <sheetData>
    <row r="3" spans="1:3" x14ac:dyDescent="0.35">
      <c r="A3" s="4" t="s">
        <v>125</v>
      </c>
      <c r="B3" t="s">
        <v>130</v>
      </c>
      <c r="C3" t="s">
        <v>128</v>
      </c>
    </row>
    <row r="4" spans="1:3" x14ac:dyDescent="0.35">
      <c r="A4" s="5" t="s">
        <v>126</v>
      </c>
      <c r="B4" s="13"/>
      <c r="C4" s="2"/>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A942-6760-447C-8FC8-495CD8957222}">
  <dimension ref="A3:B4"/>
  <sheetViews>
    <sheetView workbookViewId="0">
      <selection activeCell="M22" sqref="M22"/>
    </sheetView>
  </sheetViews>
  <sheetFormatPr defaultRowHeight="14.5" x14ac:dyDescent="0.35"/>
  <cols>
    <col min="1" max="1" width="12.453125" bestFit="1" customWidth="1"/>
    <col min="2" max="2" width="14.90625" bestFit="1" customWidth="1"/>
  </cols>
  <sheetData>
    <row r="3" spans="1:2" x14ac:dyDescent="0.35">
      <c r="A3" s="4" t="s">
        <v>125</v>
      </c>
      <c r="B3" t="s">
        <v>131</v>
      </c>
    </row>
    <row r="4" spans="1:2" x14ac:dyDescent="0.35">
      <c r="A4" s="5" t="s">
        <v>126</v>
      </c>
      <c r="B4" s="13"/>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0627-6956-479C-A790-653A2A10D393}">
  <dimension ref="A2:B4"/>
  <sheetViews>
    <sheetView workbookViewId="0">
      <selection activeCell="A20" sqref="A20"/>
    </sheetView>
  </sheetViews>
  <sheetFormatPr defaultRowHeight="14.5" x14ac:dyDescent="0.35"/>
  <cols>
    <col min="1" max="1" width="12.453125" bestFit="1" customWidth="1"/>
    <col min="2" max="2" width="16.08984375" bestFit="1" customWidth="1"/>
  </cols>
  <sheetData>
    <row r="2" spans="1:2" x14ac:dyDescent="0.35">
      <c r="A2" s="8" t="s">
        <v>133</v>
      </c>
    </row>
    <row r="3" spans="1:2" x14ac:dyDescent="0.35">
      <c r="A3" s="4" t="s">
        <v>125</v>
      </c>
      <c r="B3" t="s">
        <v>128</v>
      </c>
    </row>
    <row r="4" spans="1:2" x14ac:dyDescent="0.35">
      <c r="A4" s="5" t="s">
        <v>126</v>
      </c>
      <c r="B4"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17E4-D75D-44F9-AFA5-2846CE754DA6}">
  <dimension ref="A3:B4"/>
  <sheetViews>
    <sheetView tabSelected="1" workbookViewId="0">
      <selection activeCell="B3" sqref="B3"/>
    </sheetView>
  </sheetViews>
  <sheetFormatPr defaultRowHeight="14.5" x14ac:dyDescent="0.35"/>
  <cols>
    <col min="1" max="1" width="12.453125" bestFit="1" customWidth="1"/>
    <col min="2" max="2" width="14.90625" bestFit="1" customWidth="1"/>
  </cols>
  <sheetData>
    <row r="3" spans="1:2" x14ac:dyDescent="0.35">
      <c r="A3" s="4" t="s">
        <v>125</v>
      </c>
      <c r="B3" t="s">
        <v>131</v>
      </c>
    </row>
    <row r="4" spans="1:2" x14ac:dyDescent="0.35">
      <c r="A4" s="5" t="s">
        <v>126</v>
      </c>
      <c r="B4"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3E2C-5FA1-4CD6-A992-960C764DD375}">
  <dimension ref="A68:A76"/>
  <sheetViews>
    <sheetView workbookViewId="0">
      <selection activeCell="A78" sqref="A78"/>
    </sheetView>
  </sheetViews>
  <sheetFormatPr defaultRowHeight="14.5" x14ac:dyDescent="0.35"/>
  <cols>
    <col min="1" max="16384" width="8.7265625" style="6"/>
  </cols>
  <sheetData>
    <row r="68" spans="1:1" x14ac:dyDescent="0.35">
      <c r="A68" s="6" t="s">
        <v>135</v>
      </c>
    </row>
    <row r="70" spans="1:1" x14ac:dyDescent="0.35">
      <c r="A70" s="6" t="s">
        <v>136</v>
      </c>
    </row>
    <row r="71" spans="1:1" x14ac:dyDescent="0.35">
      <c r="A71" s="6" t="s">
        <v>137</v>
      </c>
    </row>
    <row r="72" spans="1:1" x14ac:dyDescent="0.35">
      <c r="A72" s="6" t="s">
        <v>138</v>
      </c>
    </row>
    <row r="73" spans="1:1" x14ac:dyDescent="0.35">
      <c r="A73" s="6" t="s">
        <v>139</v>
      </c>
    </row>
    <row r="74" spans="1:1" x14ac:dyDescent="0.35">
      <c r="A74" s="6" t="s">
        <v>140</v>
      </c>
    </row>
    <row r="75" spans="1:1" x14ac:dyDescent="0.35">
      <c r="A75" s="6" t="s">
        <v>141</v>
      </c>
    </row>
    <row r="76" spans="1:1" x14ac:dyDescent="0.35">
      <c r="A76" s="6" t="s">
        <v>142</v>
      </c>
    </row>
  </sheetData>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BF72-C4A4-4D18-AB30-D0E293BFCA6B}">
  <dimension ref="A3:C10"/>
  <sheetViews>
    <sheetView workbookViewId="0">
      <selection activeCell="B3" sqref="B3"/>
    </sheetView>
  </sheetViews>
  <sheetFormatPr defaultRowHeight="14.5" x14ac:dyDescent="0.35"/>
  <cols>
    <col min="1" max="1" width="66.1796875" bestFit="1" customWidth="1"/>
    <col min="2" max="2" width="17.453125" bestFit="1" customWidth="1"/>
    <col min="3" max="3" width="16.08984375" bestFit="1" customWidth="1"/>
  </cols>
  <sheetData>
    <row r="3" spans="1:3" x14ac:dyDescent="0.35">
      <c r="A3" s="4" t="s">
        <v>125</v>
      </c>
      <c r="B3" t="s">
        <v>127</v>
      </c>
      <c r="C3" t="s">
        <v>128</v>
      </c>
    </row>
    <row r="4" spans="1:3" x14ac:dyDescent="0.35">
      <c r="A4" s="5" t="s">
        <v>60</v>
      </c>
      <c r="B4" s="1">
        <v>0.49</v>
      </c>
      <c r="C4" s="2">
        <v>4</v>
      </c>
    </row>
    <row r="5" spans="1:3" x14ac:dyDescent="0.35">
      <c r="A5" s="5" t="s">
        <v>10</v>
      </c>
      <c r="B5" s="1">
        <v>0.45</v>
      </c>
      <c r="C5" s="2">
        <v>3.8</v>
      </c>
    </row>
    <row r="6" spans="1:3" x14ac:dyDescent="0.35">
      <c r="A6" s="5" t="s">
        <v>19</v>
      </c>
      <c r="B6" s="1">
        <v>0.53</v>
      </c>
      <c r="C6" s="2">
        <v>3.3</v>
      </c>
    </row>
    <row r="7" spans="1:3" x14ac:dyDescent="0.35">
      <c r="A7" s="5" t="s">
        <v>44</v>
      </c>
      <c r="B7" s="1">
        <v>0.54</v>
      </c>
      <c r="C7" s="2">
        <v>3</v>
      </c>
    </row>
    <row r="8" spans="1:3" x14ac:dyDescent="0.35">
      <c r="A8" s="5" t="s">
        <v>53</v>
      </c>
      <c r="B8" s="1">
        <v>0.43</v>
      </c>
      <c r="C8" s="2">
        <v>3</v>
      </c>
    </row>
    <row r="9" spans="1:3" x14ac:dyDescent="0.35">
      <c r="A9" s="5" t="s">
        <v>105</v>
      </c>
      <c r="B9" s="1">
        <v>0.46</v>
      </c>
      <c r="C9" s="2">
        <v>3</v>
      </c>
    </row>
    <row r="10" spans="1:3" x14ac:dyDescent="0.35">
      <c r="A10" s="5" t="s">
        <v>126</v>
      </c>
      <c r="B10" s="1">
        <v>0.48333333333333334</v>
      </c>
      <c r="C10" s="2">
        <v>3.35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BF10-7D14-44E8-8D52-F7A067058655}">
  <dimension ref="A1:K120"/>
  <sheetViews>
    <sheetView workbookViewId="0">
      <pane ySplit="1" topLeftCell="A43" activePane="bottomLeft" state="frozen"/>
      <selection pane="bottomLeft" activeCell="H4" sqref="H4"/>
    </sheetView>
  </sheetViews>
  <sheetFormatPr defaultRowHeight="14.5" x14ac:dyDescent="0.35"/>
  <cols>
    <col min="1" max="1" width="86.1796875" bestFit="1" customWidth="1"/>
    <col min="2" max="2" width="13.7265625" style="3" bestFit="1" customWidth="1"/>
    <col min="3" max="3" width="11.36328125" style="3" bestFit="1" customWidth="1"/>
    <col min="4" max="4" width="10.36328125" style="1" bestFit="1" customWidth="1"/>
    <col min="5" max="5" width="8.7265625" style="3" bestFit="1" customWidth="1"/>
    <col min="6" max="6" width="9.08984375" style="2" bestFit="1" customWidth="1"/>
    <col min="7" max="9" width="16.6328125" style="2" customWidth="1"/>
    <col min="11" max="11" width="11.1796875" customWidth="1"/>
  </cols>
  <sheetData>
    <row r="1" spans="1:9" x14ac:dyDescent="0.35">
      <c r="A1" s="9" t="s">
        <v>0</v>
      </c>
      <c r="B1" s="10" t="s">
        <v>1</v>
      </c>
      <c r="C1" s="10" t="s">
        <v>2</v>
      </c>
      <c r="D1" s="11" t="s">
        <v>3</v>
      </c>
      <c r="E1" s="10" t="s">
        <v>4</v>
      </c>
      <c r="F1" s="12" t="s">
        <v>80</v>
      </c>
      <c r="G1" s="12" t="s">
        <v>120</v>
      </c>
      <c r="H1" s="12" t="s">
        <v>121</v>
      </c>
      <c r="I1" s="12" t="s">
        <v>122</v>
      </c>
    </row>
    <row r="2" spans="1:9" x14ac:dyDescent="0.35">
      <c r="A2" t="s">
        <v>5</v>
      </c>
      <c r="B2" s="3">
        <v>950</v>
      </c>
      <c r="C2" s="3">
        <v>1525</v>
      </c>
      <c r="D2" s="1">
        <v>0.38</v>
      </c>
      <c r="E2" s="3">
        <v>2</v>
      </c>
      <c r="F2" s="2">
        <v>4.5</v>
      </c>
      <c r="G2" s="2">
        <f>C2-B2</f>
        <v>575</v>
      </c>
      <c r="H2" s="2" t="str">
        <f>IF(F2&lt;3, "Poor", IF(F2&lt;=4, "Average","Excellent"))</f>
        <v>Excellent</v>
      </c>
      <c r="I2" s="2" t="str">
        <f>IF(D2&lt;20%, "Low Discount", IF(D2&lt;=40%, "Medium Discount", "High Discount"))</f>
        <v>Medium Discount</v>
      </c>
    </row>
    <row r="3" spans="1:9" x14ac:dyDescent="0.35">
      <c r="A3" t="s">
        <v>81</v>
      </c>
      <c r="B3" s="3">
        <v>527</v>
      </c>
      <c r="C3" s="3">
        <v>999</v>
      </c>
      <c r="D3" s="1">
        <v>0.47</v>
      </c>
      <c r="E3" s="3">
        <v>14</v>
      </c>
      <c r="F3" s="2">
        <v>4.0999999999999996</v>
      </c>
      <c r="G3" s="2">
        <f t="shared" ref="G3:G66" si="0">C3-B3</f>
        <v>472</v>
      </c>
      <c r="H3" s="2" t="str">
        <f t="shared" ref="H3:H66" si="1">IF(F3&lt;3, "Poor", IF(F3&lt;=4, "Average","Excellent"))</f>
        <v>Excellent</v>
      </c>
      <c r="I3" s="2" t="str">
        <f t="shared" ref="I3:I66" si="2">IF(D3&lt;20%, "Low Discount", IF(D3&lt;=40%, "Medium Discount", "High Discount"))</f>
        <v>High Discount</v>
      </c>
    </row>
    <row r="4" spans="1:9" x14ac:dyDescent="0.35">
      <c r="A4" t="s">
        <v>82</v>
      </c>
      <c r="B4" s="3">
        <v>2199</v>
      </c>
      <c r="C4" s="3">
        <v>2923</v>
      </c>
      <c r="D4" s="1">
        <v>0.25</v>
      </c>
      <c r="E4" s="3">
        <v>24</v>
      </c>
      <c r="F4" s="2">
        <v>4.5999999999999996</v>
      </c>
      <c r="G4" s="2">
        <f t="shared" si="0"/>
        <v>724</v>
      </c>
      <c r="H4" s="2" t="str">
        <f t="shared" si="1"/>
        <v>Excellent</v>
      </c>
      <c r="I4" s="2" t="str">
        <f t="shared" si="2"/>
        <v>Medium Discount</v>
      </c>
    </row>
    <row r="5" spans="1:9" x14ac:dyDescent="0.35">
      <c r="A5" t="s">
        <v>83</v>
      </c>
      <c r="B5" s="3">
        <v>1580</v>
      </c>
      <c r="C5" s="3">
        <v>2499</v>
      </c>
      <c r="D5" s="1">
        <v>0.37</v>
      </c>
      <c r="E5" s="3">
        <v>7</v>
      </c>
      <c r="F5" s="2">
        <v>4.7</v>
      </c>
      <c r="G5" s="2">
        <f t="shared" si="0"/>
        <v>919</v>
      </c>
      <c r="H5" s="2" t="str">
        <f t="shared" si="1"/>
        <v>Excellent</v>
      </c>
      <c r="I5" s="2" t="str">
        <f t="shared" si="2"/>
        <v>Medium Discount</v>
      </c>
    </row>
    <row r="6" spans="1:9" x14ac:dyDescent="0.35">
      <c r="A6" t="s">
        <v>84</v>
      </c>
      <c r="B6" s="3">
        <v>1740</v>
      </c>
      <c r="C6" s="3">
        <v>2356</v>
      </c>
      <c r="D6" s="1">
        <v>0.26</v>
      </c>
      <c r="E6" s="3">
        <v>5</v>
      </c>
      <c r="F6" s="2">
        <v>4.8</v>
      </c>
      <c r="G6" s="2">
        <f t="shared" si="0"/>
        <v>616</v>
      </c>
      <c r="H6" s="2" t="str">
        <f t="shared" si="1"/>
        <v>Excellent</v>
      </c>
      <c r="I6" s="2" t="str">
        <f t="shared" si="2"/>
        <v>Medium Discount</v>
      </c>
    </row>
    <row r="7" spans="1:9" x14ac:dyDescent="0.35">
      <c r="A7" t="s">
        <v>6</v>
      </c>
      <c r="B7" s="3">
        <v>2999</v>
      </c>
      <c r="C7" s="3">
        <v>3290</v>
      </c>
      <c r="D7" s="1">
        <v>0.09</v>
      </c>
      <c r="E7" s="3">
        <v>15</v>
      </c>
      <c r="F7" s="2">
        <v>4</v>
      </c>
      <c r="G7" s="2">
        <f t="shared" si="0"/>
        <v>291</v>
      </c>
      <c r="H7" s="2" t="str">
        <f t="shared" si="1"/>
        <v>Average</v>
      </c>
      <c r="I7" s="2" t="str">
        <f t="shared" si="2"/>
        <v>Low Discount</v>
      </c>
    </row>
    <row r="8" spans="1:9" x14ac:dyDescent="0.35">
      <c r="A8" t="s">
        <v>7</v>
      </c>
      <c r="B8" s="3">
        <v>2319</v>
      </c>
      <c r="C8" s="3">
        <v>3032</v>
      </c>
      <c r="D8" s="1">
        <v>0.24</v>
      </c>
      <c r="E8" s="3">
        <v>55</v>
      </c>
      <c r="F8" s="2">
        <v>4.5999999999999996</v>
      </c>
      <c r="G8" s="2">
        <f t="shared" si="0"/>
        <v>713</v>
      </c>
      <c r="H8" s="2" t="str">
        <f t="shared" si="1"/>
        <v>Excellent</v>
      </c>
      <c r="I8" s="2" t="str">
        <f t="shared" si="2"/>
        <v>Medium Discount</v>
      </c>
    </row>
    <row r="9" spans="1:9" x14ac:dyDescent="0.35">
      <c r="A9" t="s">
        <v>8</v>
      </c>
      <c r="B9" s="3">
        <v>988</v>
      </c>
      <c r="C9" s="3">
        <v>1580</v>
      </c>
      <c r="D9" s="1">
        <v>0.37</v>
      </c>
      <c r="E9" s="3">
        <v>2</v>
      </c>
      <c r="F9" s="2">
        <v>4</v>
      </c>
      <c r="G9" s="2">
        <f t="shared" si="0"/>
        <v>592</v>
      </c>
      <c r="H9" s="2" t="str">
        <f t="shared" si="1"/>
        <v>Average</v>
      </c>
      <c r="I9" s="2" t="str">
        <f t="shared" si="2"/>
        <v>Medium Discount</v>
      </c>
    </row>
    <row r="10" spans="1:9" x14ac:dyDescent="0.35">
      <c r="A10" t="s">
        <v>9</v>
      </c>
      <c r="B10" s="3">
        <v>1274</v>
      </c>
      <c r="C10" s="3">
        <v>2800</v>
      </c>
      <c r="D10" s="1">
        <v>0.55000000000000004</v>
      </c>
      <c r="E10" s="3">
        <v>5</v>
      </c>
      <c r="F10" s="2">
        <v>4.8</v>
      </c>
      <c r="G10" s="2">
        <f t="shared" si="0"/>
        <v>1526</v>
      </c>
      <c r="H10" s="2" t="str">
        <f t="shared" si="1"/>
        <v>Excellent</v>
      </c>
      <c r="I10" s="2" t="str">
        <f t="shared" si="2"/>
        <v>High Discount</v>
      </c>
    </row>
    <row r="11" spans="1:9" x14ac:dyDescent="0.35">
      <c r="A11" t="s">
        <v>10</v>
      </c>
      <c r="B11" s="3">
        <v>1600</v>
      </c>
      <c r="C11" s="3">
        <v>2929</v>
      </c>
      <c r="D11" s="1">
        <v>0.45</v>
      </c>
      <c r="E11" s="3">
        <v>5</v>
      </c>
      <c r="F11" s="2">
        <v>3.8</v>
      </c>
      <c r="G11" s="2">
        <f t="shared" si="0"/>
        <v>1329</v>
      </c>
      <c r="H11" s="2" t="str">
        <f t="shared" si="1"/>
        <v>Average</v>
      </c>
      <c r="I11" s="2" t="str">
        <f t="shared" si="2"/>
        <v>High Discount</v>
      </c>
    </row>
    <row r="12" spans="1:9" x14ac:dyDescent="0.35">
      <c r="A12" t="s">
        <v>11</v>
      </c>
      <c r="B12" s="3">
        <v>799</v>
      </c>
      <c r="C12" s="3">
        <v>999</v>
      </c>
      <c r="D12" s="1">
        <v>0.2</v>
      </c>
      <c r="E12" s="3">
        <v>12</v>
      </c>
      <c r="F12" s="2">
        <v>4.0999999999999996</v>
      </c>
      <c r="G12" s="2">
        <f t="shared" si="0"/>
        <v>200</v>
      </c>
      <c r="H12" s="2" t="str">
        <f t="shared" si="1"/>
        <v>Excellent</v>
      </c>
      <c r="I12" s="2" t="str">
        <f t="shared" si="2"/>
        <v>Medium Discount</v>
      </c>
    </row>
    <row r="13" spans="1:9" x14ac:dyDescent="0.35">
      <c r="A13" t="s">
        <v>12</v>
      </c>
      <c r="B13" s="3">
        <v>990</v>
      </c>
      <c r="C13" s="3">
        <v>1500</v>
      </c>
      <c r="D13" s="1">
        <v>0.34</v>
      </c>
      <c r="E13" s="3">
        <v>39</v>
      </c>
      <c r="F13" s="2">
        <v>4.7</v>
      </c>
      <c r="G13" s="2">
        <f t="shared" si="0"/>
        <v>510</v>
      </c>
      <c r="H13" s="2" t="str">
        <f t="shared" si="1"/>
        <v>Excellent</v>
      </c>
      <c r="I13" s="2" t="str">
        <f t="shared" si="2"/>
        <v>Medium Discount</v>
      </c>
    </row>
    <row r="14" spans="1:9" x14ac:dyDescent="0.35">
      <c r="A14" t="s">
        <v>13</v>
      </c>
      <c r="B14" s="3">
        <v>552</v>
      </c>
      <c r="C14" s="3">
        <v>1035</v>
      </c>
      <c r="D14" s="1">
        <v>0.47</v>
      </c>
      <c r="E14" s="3">
        <v>12</v>
      </c>
      <c r="F14" s="2">
        <v>4.8</v>
      </c>
      <c r="G14" s="2">
        <f t="shared" si="0"/>
        <v>483</v>
      </c>
      <c r="H14" s="2" t="str">
        <f t="shared" si="1"/>
        <v>Excellent</v>
      </c>
      <c r="I14" s="2" t="str">
        <f t="shared" si="2"/>
        <v>High Discount</v>
      </c>
    </row>
    <row r="15" spans="1:9" x14ac:dyDescent="0.35">
      <c r="A15" t="s">
        <v>14</v>
      </c>
      <c r="B15" s="3">
        <v>501</v>
      </c>
      <c r="C15" s="3">
        <v>860</v>
      </c>
      <c r="D15" s="1">
        <v>0.42</v>
      </c>
      <c r="E15" s="3">
        <v>6</v>
      </c>
      <c r="F15" s="2">
        <v>4.5</v>
      </c>
      <c r="G15" s="2">
        <f t="shared" si="0"/>
        <v>359</v>
      </c>
      <c r="H15" s="2" t="str">
        <f t="shared" si="1"/>
        <v>Excellent</v>
      </c>
      <c r="I15" s="2" t="str">
        <f t="shared" si="2"/>
        <v>High Discount</v>
      </c>
    </row>
    <row r="16" spans="1:9" x14ac:dyDescent="0.35">
      <c r="A16" t="s">
        <v>15</v>
      </c>
      <c r="B16" s="3">
        <v>1680</v>
      </c>
      <c r="C16" s="3">
        <v>2499</v>
      </c>
      <c r="D16" s="1">
        <v>0.33</v>
      </c>
      <c r="E16" s="3">
        <v>9</v>
      </c>
      <c r="F16" s="2">
        <v>4.2</v>
      </c>
      <c r="G16" s="2">
        <f t="shared" si="0"/>
        <v>819</v>
      </c>
      <c r="H16" s="2" t="str">
        <f t="shared" si="1"/>
        <v>Excellent</v>
      </c>
      <c r="I16" s="2" t="str">
        <f t="shared" si="2"/>
        <v>Medium Discount</v>
      </c>
    </row>
    <row r="17" spans="1:9" x14ac:dyDescent="0.35">
      <c r="A17" t="s">
        <v>85</v>
      </c>
      <c r="B17" s="3">
        <v>332</v>
      </c>
      <c r="C17" s="3">
        <v>684</v>
      </c>
      <c r="D17" s="1">
        <v>0.51</v>
      </c>
      <c r="E17" s="3">
        <v>2</v>
      </c>
      <c r="F17" s="2">
        <v>5</v>
      </c>
      <c r="G17" s="2">
        <f t="shared" si="0"/>
        <v>352</v>
      </c>
      <c r="H17" s="2" t="str">
        <f t="shared" si="1"/>
        <v>Excellent</v>
      </c>
      <c r="I17" s="2" t="str">
        <f t="shared" si="2"/>
        <v>High Discount</v>
      </c>
    </row>
    <row r="18" spans="1:9" x14ac:dyDescent="0.35">
      <c r="A18" t="s">
        <v>16</v>
      </c>
      <c r="B18" s="3">
        <v>195</v>
      </c>
      <c r="C18" s="3">
        <v>360</v>
      </c>
      <c r="D18" s="1">
        <v>0.46</v>
      </c>
      <c r="E18" s="3">
        <v>2</v>
      </c>
      <c r="F18" s="2">
        <v>5</v>
      </c>
      <c r="G18" s="2">
        <f t="shared" si="0"/>
        <v>165</v>
      </c>
      <c r="H18" s="2" t="str">
        <f t="shared" si="1"/>
        <v>Excellent</v>
      </c>
      <c r="I18" s="2" t="str">
        <f t="shared" si="2"/>
        <v>High Discount</v>
      </c>
    </row>
    <row r="19" spans="1:9" x14ac:dyDescent="0.35">
      <c r="A19" t="s">
        <v>86</v>
      </c>
      <c r="B19" s="3">
        <v>2025</v>
      </c>
      <c r="C19" s="3">
        <v>3971</v>
      </c>
      <c r="D19" s="1">
        <v>0.49</v>
      </c>
      <c r="E19" s="3">
        <v>3</v>
      </c>
      <c r="F19" s="2">
        <v>5</v>
      </c>
      <c r="G19" s="2">
        <f t="shared" si="0"/>
        <v>1946</v>
      </c>
      <c r="H19" s="2" t="str">
        <f t="shared" si="1"/>
        <v>Excellent</v>
      </c>
      <c r="I19" s="2" t="str">
        <f t="shared" si="2"/>
        <v>High Discount</v>
      </c>
    </row>
    <row r="20" spans="1:9" x14ac:dyDescent="0.35">
      <c r="A20" t="s">
        <v>17</v>
      </c>
      <c r="B20" s="3">
        <v>2999</v>
      </c>
      <c r="C20" s="3">
        <v>3699</v>
      </c>
      <c r="D20" s="1">
        <v>0.19</v>
      </c>
      <c r="E20" s="3">
        <v>5</v>
      </c>
      <c r="F20" s="2">
        <v>4.5999999999999996</v>
      </c>
      <c r="G20" s="2">
        <f t="shared" si="0"/>
        <v>700</v>
      </c>
      <c r="H20" s="2" t="str">
        <f t="shared" si="1"/>
        <v>Excellent</v>
      </c>
      <c r="I20" s="2" t="str">
        <f t="shared" si="2"/>
        <v>Low Discount</v>
      </c>
    </row>
    <row r="21" spans="1:9" x14ac:dyDescent="0.35">
      <c r="A21" t="s">
        <v>18</v>
      </c>
      <c r="B21" s="3">
        <v>998</v>
      </c>
      <c r="C21" s="3">
        <v>1966</v>
      </c>
      <c r="D21" s="1">
        <v>0.49</v>
      </c>
      <c r="E21" s="3">
        <v>44</v>
      </c>
      <c r="F21" s="2">
        <v>4.5999999999999996</v>
      </c>
      <c r="G21" s="2">
        <f t="shared" si="0"/>
        <v>968</v>
      </c>
      <c r="H21" s="2" t="str">
        <f t="shared" si="1"/>
        <v>Excellent</v>
      </c>
      <c r="I21" s="2" t="str">
        <f t="shared" si="2"/>
        <v>High Discount</v>
      </c>
    </row>
    <row r="22" spans="1:9" x14ac:dyDescent="0.35">
      <c r="A22" t="s">
        <v>19</v>
      </c>
      <c r="B22" s="3">
        <v>38</v>
      </c>
      <c r="C22" s="3">
        <v>80</v>
      </c>
      <c r="D22" s="1">
        <v>0.53</v>
      </c>
      <c r="E22" s="3">
        <v>13</v>
      </c>
      <c r="F22" s="2">
        <v>3.3</v>
      </c>
      <c r="G22" s="2">
        <f t="shared" si="0"/>
        <v>42</v>
      </c>
      <c r="H22" s="2" t="str">
        <f t="shared" si="1"/>
        <v>Average</v>
      </c>
      <c r="I22" s="2" t="str">
        <f t="shared" si="2"/>
        <v>High Discount</v>
      </c>
    </row>
    <row r="23" spans="1:9" x14ac:dyDescent="0.35">
      <c r="A23" t="s">
        <v>20</v>
      </c>
      <c r="B23" s="3">
        <v>1860</v>
      </c>
      <c r="C23" s="3">
        <v>3220</v>
      </c>
      <c r="D23" s="1">
        <v>0.42</v>
      </c>
      <c r="E23" s="3">
        <f ca="1">AVERAGE(E2:E116)</f>
        <v>0</v>
      </c>
      <c r="F23" s="2">
        <f ca="1">AVERAGE(F2:F116)</f>
        <v>0</v>
      </c>
      <c r="G23" s="2">
        <f t="shared" si="0"/>
        <v>1360</v>
      </c>
      <c r="H23" s="2" t="str">
        <f t="shared" ca="1" si="1"/>
        <v>Excellent</v>
      </c>
      <c r="I23" s="2" t="str">
        <f t="shared" si="2"/>
        <v>High Discount</v>
      </c>
    </row>
    <row r="24" spans="1:9" x14ac:dyDescent="0.35">
      <c r="A24" t="s">
        <v>87</v>
      </c>
      <c r="B24" s="3">
        <v>880</v>
      </c>
      <c r="C24" s="3">
        <v>1350</v>
      </c>
      <c r="D24" s="1">
        <v>0.35</v>
      </c>
      <c r="E24" s="3">
        <v>6</v>
      </c>
      <c r="F24" s="2">
        <v>4</v>
      </c>
      <c r="G24" s="2">
        <f t="shared" si="0"/>
        <v>470</v>
      </c>
      <c r="H24" s="2" t="str">
        <f t="shared" si="1"/>
        <v>Average</v>
      </c>
      <c r="I24" s="2" t="str">
        <f t="shared" si="2"/>
        <v>Medium Discount</v>
      </c>
    </row>
    <row r="25" spans="1:9" x14ac:dyDescent="0.35">
      <c r="A25" t="s">
        <v>21</v>
      </c>
      <c r="B25" s="3">
        <v>1650</v>
      </c>
      <c r="C25" s="3">
        <v>2150</v>
      </c>
      <c r="D25" s="1">
        <v>0.23</v>
      </c>
      <c r="E25" s="3">
        <v>14</v>
      </c>
      <c r="F25" s="2">
        <v>4.4000000000000004</v>
      </c>
      <c r="G25" s="2">
        <f t="shared" si="0"/>
        <v>500</v>
      </c>
      <c r="H25" s="2" t="str">
        <f t="shared" si="1"/>
        <v>Excellent</v>
      </c>
      <c r="I25" s="2" t="str">
        <f t="shared" si="2"/>
        <v>Medium Discount</v>
      </c>
    </row>
    <row r="26" spans="1:9" x14ac:dyDescent="0.35">
      <c r="A26" t="s">
        <v>22</v>
      </c>
      <c r="B26" s="3">
        <v>2048</v>
      </c>
      <c r="C26" s="3">
        <v>4500</v>
      </c>
      <c r="D26" s="1">
        <v>0.54</v>
      </c>
      <c r="E26" s="3">
        <v>7</v>
      </c>
      <c r="F26" s="2">
        <v>4.3</v>
      </c>
      <c r="G26" s="2">
        <f t="shared" si="0"/>
        <v>2452</v>
      </c>
      <c r="H26" s="2" t="str">
        <f t="shared" si="1"/>
        <v>Excellent</v>
      </c>
      <c r="I26" s="2" t="str">
        <f t="shared" si="2"/>
        <v>High Discount</v>
      </c>
    </row>
    <row r="27" spans="1:9" x14ac:dyDescent="0.35">
      <c r="A27" t="s">
        <v>23</v>
      </c>
      <c r="B27" s="3">
        <v>420</v>
      </c>
      <c r="C27" s="3">
        <v>647</v>
      </c>
      <c r="D27" s="1">
        <v>0.35</v>
      </c>
      <c r="E27" s="3">
        <v>49</v>
      </c>
      <c r="F27" s="2">
        <v>4.5999999999999996</v>
      </c>
      <c r="G27" s="2">
        <f t="shared" si="0"/>
        <v>227</v>
      </c>
      <c r="H27" s="2" t="str">
        <f t="shared" si="1"/>
        <v>Excellent</v>
      </c>
      <c r="I27" s="2" t="str">
        <f t="shared" si="2"/>
        <v>Medium Discount</v>
      </c>
    </row>
    <row r="28" spans="1:9" x14ac:dyDescent="0.35">
      <c r="A28" t="s">
        <v>24</v>
      </c>
      <c r="B28" s="3">
        <v>2880</v>
      </c>
      <c r="C28" s="3">
        <v>3520</v>
      </c>
      <c r="D28" s="1">
        <v>0.18</v>
      </c>
      <c r="E28" s="3">
        <v>12</v>
      </c>
      <c r="F28" s="2">
        <v>3.8</v>
      </c>
      <c r="G28" s="2">
        <f t="shared" si="0"/>
        <v>640</v>
      </c>
      <c r="H28" s="2" t="str">
        <f t="shared" si="1"/>
        <v>Average</v>
      </c>
      <c r="I28" s="2" t="str">
        <f t="shared" si="2"/>
        <v>Low Discount</v>
      </c>
    </row>
    <row r="29" spans="1:9" x14ac:dyDescent="0.35">
      <c r="A29" t="s">
        <v>25</v>
      </c>
      <c r="B29" s="3">
        <v>1350</v>
      </c>
      <c r="C29" s="3">
        <v>1990</v>
      </c>
      <c r="D29" s="1">
        <v>0.32</v>
      </c>
      <c r="E29" s="3">
        <v>13</v>
      </c>
      <c r="F29" s="2">
        <v>3.8</v>
      </c>
      <c r="G29" s="2">
        <f t="shared" si="0"/>
        <v>640</v>
      </c>
      <c r="H29" s="2" t="str">
        <f t="shared" si="1"/>
        <v>Average</v>
      </c>
      <c r="I29" s="2" t="str">
        <f t="shared" si="2"/>
        <v>Medium Discount</v>
      </c>
    </row>
    <row r="30" spans="1:9" x14ac:dyDescent="0.35">
      <c r="A30" t="s">
        <v>26</v>
      </c>
      <c r="B30" s="3">
        <v>1758</v>
      </c>
      <c r="C30" s="3">
        <v>2499</v>
      </c>
      <c r="D30" s="1">
        <v>0.3</v>
      </c>
      <c r="E30" s="3">
        <v>20</v>
      </c>
      <c r="F30" s="2">
        <v>4.0999999999999996</v>
      </c>
      <c r="G30" s="2">
        <f t="shared" si="0"/>
        <v>741</v>
      </c>
      <c r="H30" s="2" t="str">
        <f t="shared" si="1"/>
        <v>Excellent</v>
      </c>
      <c r="I30" s="2" t="str">
        <f t="shared" si="2"/>
        <v>Medium Discount</v>
      </c>
    </row>
    <row r="31" spans="1:9" x14ac:dyDescent="0.35">
      <c r="A31" t="s">
        <v>88</v>
      </c>
      <c r="B31" s="3">
        <v>2200</v>
      </c>
      <c r="C31" s="3">
        <v>4080</v>
      </c>
      <c r="D31" s="1">
        <v>0.46</v>
      </c>
      <c r="E31" s="3">
        <f ca="1">AVERAGE(E10:E124)</f>
        <v>0</v>
      </c>
      <c r="F31" s="2">
        <f ca="1">AVERAGE(F10:F124)</f>
        <v>0</v>
      </c>
      <c r="G31" s="2">
        <f t="shared" si="0"/>
        <v>1880</v>
      </c>
      <c r="H31" s="2" t="str">
        <f t="shared" ca="1" si="1"/>
        <v>Excellent</v>
      </c>
      <c r="I31" s="2" t="str">
        <f t="shared" si="2"/>
        <v>High Discount</v>
      </c>
    </row>
    <row r="32" spans="1:9" x14ac:dyDescent="0.35">
      <c r="A32" t="s">
        <v>89</v>
      </c>
      <c r="B32" s="3">
        <v>185</v>
      </c>
      <c r="C32" s="3">
        <v>382</v>
      </c>
      <c r="D32" s="1">
        <v>0.52</v>
      </c>
      <c r="E32" s="3">
        <v>9</v>
      </c>
      <c r="F32" s="2">
        <v>4.3</v>
      </c>
      <c r="G32" s="2">
        <f t="shared" si="0"/>
        <v>197</v>
      </c>
      <c r="H32" s="2" t="str">
        <f t="shared" si="1"/>
        <v>Excellent</v>
      </c>
      <c r="I32" s="2" t="str">
        <f t="shared" si="2"/>
        <v>High Discount</v>
      </c>
    </row>
    <row r="33" spans="1:11" x14ac:dyDescent="0.35">
      <c r="A33" t="s">
        <v>27</v>
      </c>
      <c r="B33" s="3">
        <v>980</v>
      </c>
      <c r="C33" s="3">
        <v>1490</v>
      </c>
      <c r="D33" s="1">
        <v>0.34</v>
      </c>
      <c r="E33" s="3">
        <v>12</v>
      </c>
      <c r="F33" s="2">
        <v>4.7</v>
      </c>
      <c r="G33" s="2">
        <f t="shared" si="0"/>
        <v>510</v>
      </c>
      <c r="H33" s="2" t="str">
        <f t="shared" si="1"/>
        <v>Excellent</v>
      </c>
      <c r="I33" s="2" t="str">
        <f t="shared" si="2"/>
        <v>Medium Discount</v>
      </c>
    </row>
    <row r="34" spans="1:11" x14ac:dyDescent="0.35">
      <c r="A34" t="s">
        <v>90</v>
      </c>
      <c r="B34" s="3">
        <v>1820</v>
      </c>
      <c r="C34" s="3">
        <v>3490</v>
      </c>
      <c r="D34" s="1">
        <v>0.48</v>
      </c>
      <c r="E34" s="3">
        <v>9</v>
      </c>
      <c r="F34" s="2">
        <v>4.3</v>
      </c>
      <c r="G34" s="2">
        <f t="shared" si="0"/>
        <v>1670</v>
      </c>
      <c r="H34" s="2" t="str">
        <f t="shared" si="1"/>
        <v>Excellent</v>
      </c>
      <c r="I34" s="2" t="str">
        <f t="shared" si="2"/>
        <v>High Discount</v>
      </c>
    </row>
    <row r="35" spans="1:11" x14ac:dyDescent="0.35">
      <c r="A35" t="s">
        <v>91</v>
      </c>
      <c r="B35" s="3">
        <v>1940</v>
      </c>
      <c r="C35" s="3">
        <v>2650</v>
      </c>
      <c r="D35" s="1">
        <v>0.27</v>
      </c>
      <c r="E35" s="3">
        <v>20</v>
      </c>
      <c r="F35" s="2">
        <v>4.7</v>
      </c>
      <c r="G35" s="2">
        <f t="shared" si="0"/>
        <v>710</v>
      </c>
      <c r="H35" s="2" t="str">
        <f t="shared" si="1"/>
        <v>Excellent</v>
      </c>
      <c r="I35" s="2" t="str">
        <f t="shared" si="2"/>
        <v>Medium Discount</v>
      </c>
    </row>
    <row r="36" spans="1:11" x14ac:dyDescent="0.35">
      <c r="A36" t="s">
        <v>92</v>
      </c>
      <c r="B36" s="3">
        <v>1980</v>
      </c>
      <c r="C36" s="3">
        <v>2699</v>
      </c>
      <c r="D36" s="1">
        <v>0.27</v>
      </c>
      <c r="E36" s="3">
        <v>32</v>
      </c>
      <c r="F36" s="2">
        <v>4.5</v>
      </c>
      <c r="G36" s="2">
        <f t="shared" si="0"/>
        <v>719</v>
      </c>
      <c r="H36" s="2" t="str">
        <f t="shared" si="1"/>
        <v>Excellent</v>
      </c>
      <c r="I36" s="2" t="str">
        <f t="shared" si="2"/>
        <v>Medium Discount</v>
      </c>
    </row>
    <row r="37" spans="1:11" x14ac:dyDescent="0.35">
      <c r="A37" t="s">
        <v>28</v>
      </c>
      <c r="B37" s="3">
        <v>1620</v>
      </c>
      <c r="C37" s="3">
        <v>2690</v>
      </c>
      <c r="D37" s="1">
        <v>0.4</v>
      </c>
      <c r="E37" s="3">
        <v>1</v>
      </c>
      <c r="F37" s="2">
        <v>5</v>
      </c>
      <c r="G37" s="2">
        <f t="shared" si="0"/>
        <v>1070</v>
      </c>
      <c r="H37" s="2" t="str">
        <f t="shared" si="1"/>
        <v>Excellent</v>
      </c>
      <c r="I37" s="2" t="str">
        <f t="shared" si="2"/>
        <v>Medium Discount</v>
      </c>
    </row>
    <row r="38" spans="1:11" x14ac:dyDescent="0.35">
      <c r="A38" t="s">
        <v>29</v>
      </c>
      <c r="B38" s="3">
        <v>171</v>
      </c>
      <c r="C38" s="3">
        <v>360</v>
      </c>
      <c r="D38" s="1">
        <v>0.53</v>
      </c>
      <c r="E38" s="3">
        <v>2</v>
      </c>
      <c r="F38" s="2">
        <v>5</v>
      </c>
      <c r="G38" s="2">
        <f t="shared" si="0"/>
        <v>189</v>
      </c>
      <c r="H38" s="2" t="str">
        <f t="shared" si="1"/>
        <v>Excellent</v>
      </c>
      <c r="I38" s="2" t="str">
        <f t="shared" si="2"/>
        <v>High Discount</v>
      </c>
    </row>
    <row r="39" spans="1:11" x14ac:dyDescent="0.35">
      <c r="A39" t="s">
        <v>93</v>
      </c>
      <c r="B39" s="3">
        <v>389</v>
      </c>
      <c r="C39" s="3">
        <v>656</v>
      </c>
      <c r="D39" s="1">
        <v>0.41</v>
      </c>
      <c r="E39" s="3">
        <v>36</v>
      </c>
      <c r="F39" s="2">
        <v>4.3</v>
      </c>
      <c r="G39" s="2">
        <f t="shared" si="0"/>
        <v>267</v>
      </c>
      <c r="H39" s="2" t="str">
        <f t="shared" si="1"/>
        <v>Excellent</v>
      </c>
      <c r="I39" s="2" t="str">
        <f t="shared" si="2"/>
        <v>High Discount</v>
      </c>
    </row>
    <row r="40" spans="1:11" x14ac:dyDescent="0.35">
      <c r="A40" t="s">
        <v>94</v>
      </c>
      <c r="B40" s="3">
        <f>(1620+1980)/2</f>
        <v>1800</v>
      </c>
      <c r="C40" s="3">
        <f>(2200+3200)/2</f>
        <v>2700</v>
      </c>
      <c r="D40" s="1">
        <v>0.38</v>
      </c>
      <c r="E40" s="3">
        <v>2</v>
      </c>
      <c r="F40" s="2">
        <v>4.5</v>
      </c>
      <c r="G40" s="2">
        <f t="shared" si="0"/>
        <v>900</v>
      </c>
      <c r="H40" s="2" t="str">
        <f t="shared" si="1"/>
        <v>Excellent</v>
      </c>
      <c r="I40" s="2" t="str">
        <f t="shared" si="2"/>
        <v>Medium Discount</v>
      </c>
      <c r="J40" t="s">
        <v>115</v>
      </c>
      <c r="K40" t="s">
        <v>114</v>
      </c>
    </row>
    <row r="41" spans="1:11" x14ac:dyDescent="0.35">
      <c r="A41" t="s">
        <v>95</v>
      </c>
      <c r="B41" s="3">
        <v>2750</v>
      </c>
      <c r="C41" s="3">
        <v>4471</v>
      </c>
      <c r="D41" s="1">
        <v>0.38</v>
      </c>
      <c r="E41" s="3">
        <f t="shared" ref="E41:F60" ca="1" si="3">AVERAGE(E20:E134)</f>
        <v>0</v>
      </c>
      <c r="F41" s="2">
        <f t="shared" ca="1" si="3"/>
        <v>0</v>
      </c>
      <c r="G41" s="2">
        <f t="shared" si="0"/>
        <v>1721</v>
      </c>
      <c r="H41" s="2" t="str">
        <f t="shared" ca="1" si="1"/>
        <v>Excellent</v>
      </c>
      <c r="I41" s="2" t="str">
        <f t="shared" si="2"/>
        <v>Medium Discount</v>
      </c>
    </row>
    <row r="42" spans="1:11" x14ac:dyDescent="0.35">
      <c r="A42" t="s">
        <v>96</v>
      </c>
      <c r="B42" s="3">
        <v>475</v>
      </c>
      <c r="C42" s="3">
        <v>931</v>
      </c>
      <c r="D42" s="1">
        <v>0.49</v>
      </c>
      <c r="E42" s="3">
        <f t="shared" ca="1" si="3"/>
        <v>0</v>
      </c>
      <c r="F42" s="2">
        <f t="shared" ca="1" si="3"/>
        <v>0</v>
      </c>
      <c r="G42" s="2">
        <f t="shared" si="0"/>
        <v>456</v>
      </c>
      <c r="H42" s="2" t="str">
        <f t="shared" ca="1" si="1"/>
        <v>Excellent</v>
      </c>
      <c r="I42" s="2" t="str">
        <f t="shared" si="2"/>
        <v>High Discount</v>
      </c>
    </row>
    <row r="43" spans="1:11" x14ac:dyDescent="0.35">
      <c r="A43" t="s">
        <v>97</v>
      </c>
      <c r="B43" s="3">
        <v>238</v>
      </c>
      <c r="C43" s="3">
        <v>476</v>
      </c>
      <c r="D43" s="1">
        <v>0.5</v>
      </c>
      <c r="E43" s="3">
        <f t="shared" ca="1" si="3"/>
        <v>0</v>
      </c>
      <c r="F43" s="2">
        <f t="shared" ca="1" si="3"/>
        <v>0</v>
      </c>
      <c r="G43" s="2">
        <f t="shared" si="0"/>
        <v>238</v>
      </c>
      <c r="H43" s="2" t="str">
        <f t="shared" ca="1" si="1"/>
        <v>Excellent</v>
      </c>
      <c r="I43" s="2" t="str">
        <f t="shared" si="2"/>
        <v>High Discount</v>
      </c>
    </row>
    <row r="44" spans="1:11" x14ac:dyDescent="0.35">
      <c r="A44" t="s">
        <v>30</v>
      </c>
      <c r="B44" s="3">
        <v>610</v>
      </c>
      <c r="C44" s="3">
        <v>1060</v>
      </c>
      <c r="D44" s="1">
        <v>0.42</v>
      </c>
      <c r="E44" s="3">
        <f t="shared" ca="1" si="3"/>
        <v>0</v>
      </c>
      <c r="F44" s="2">
        <f t="shared" ca="1" si="3"/>
        <v>0</v>
      </c>
      <c r="G44" s="2">
        <f t="shared" si="0"/>
        <v>450</v>
      </c>
      <c r="H44" s="2" t="str">
        <f t="shared" ca="1" si="1"/>
        <v>Excellent</v>
      </c>
      <c r="I44" s="2" t="str">
        <f t="shared" si="2"/>
        <v>High Discount</v>
      </c>
    </row>
    <row r="45" spans="1:11" x14ac:dyDescent="0.35">
      <c r="A45" t="s">
        <v>31</v>
      </c>
      <c r="B45" s="3">
        <v>2132</v>
      </c>
      <c r="C45" s="3">
        <v>2169</v>
      </c>
      <c r="D45" s="1">
        <v>0.02</v>
      </c>
      <c r="E45" s="3">
        <f t="shared" ca="1" si="3"/>
        <v>0</v>
      </c>
      <c r="F45" s="2">
        <f t="shared" ca="1" si="3"/>
        <v>0</v>
      </c>
      <c r="G45" s="2">
        <f t="shared" si="0"/>
        <v>37</v>
      </c>
      <c r="H45" s="2" t="str">
        <f t="shared" ca="1" si="1"/>
        <v>Excellent</v>
      </c>
      <c r="I45" s="2" t="str">
        <f t="shared" si="2"/>
        <v>Low Discount</v>
      </c>
    </row>
    <row r="46" spans="1:11" x14ac:dyDescent="0.35">
      <c r="A46" t="s">
        <v>32</v>
      </c>
      <c r="B46" s="3">
        <v>999</v>
      </c>
      <c r="C46" s="3">
        <v>2000</v>
      </c>
      <c r="D46" s="1">
        <v>0.5</v>
      </c>
      <c r="E46" s="3">
        <f t="shared" ca="1" si="3"/>
        <v>0</v>
      </c>
      <c r="F46" s="2">
        <f t="shared" ca="1" si="3"/>
        <v>0</v>
      </c>
      <c r="G46" s="2">
        <f t="shared" si="0"/>
        <v>1001</v>
      </c>
      <c r="H46" s="2" t="str">
        <f t="shared" ca="1" si="1"/>
        <v>Excellent</v>
      </c>
      <c r="I46" s="2" t="str">
        <f t="shared" si="2"/>
        <v>High Discount</v>
      </c>
    </row>
    <row r="47" spans="1:11" x14ac:dyDescent="0.35">
      <c r="A47" t="s">
        <v>98</v>
      </c>
      <c r="B47" s="3">
        <v>1190</v>
      </c>
      <c r="C47" s="3">
        <v>1785</v>
      </c>
      <c r="D47" s="1">
        <v>0.33</v>
      </c>
      <c r="E47" s="3">
        <f t="shared" ca="1" si="3"/>
        <v>0</v>
      </c>
      <c r="F47" s="2">
        <f t="shared" ca="1" si="3"/>
        <v>0</v>
      </c>
      <c r="G47" s="2">
        <f t="shared" si="0"/>
        <v>595</v>
      </c>
      <c r="H47" s="2" t="str">
        <f t="shared" ca="1" si="1"/>
        <v>Excellent</v>
      </c>
      <c r="I47" s="2" t="str">
        <f t="shared" si="2"/>
        <v>Medium Discount</v>
      </c>
    </row>
    <row r="48" spans="1:11" x14ac:dyDescent="0.35">
      <c r="A48" t="s">
        <v>33</v>
      </c>
      <c r="B48" s="3">
        <v>671</v>
      </c>
      <c r="C48" s="3">
        <v>1316</v>
      </c>
      <c r="D48" s="1">
        <v>0.49</v>
      </c>
      <c r="E48" s="3">
        <f t="shared" ca="1" si="3"/>
        <v>0</v>
      </c>
      <c r="F48" s="2">
        <f t="shared" ca="1" si="3"/>
        <v>0</v>
      </c>
      <c r="G48" s="2">
        <f t="shared" si="0"/>
        <v>645</v>
      </c>
      <c r="H48" s="2" t="str">
        <f t="shared" ca="1" si="1"/>
        <v>Excellent</v>
      </c>
      <c r="I48" s="2" t="str">
        <f t="shared" si="2"/>
        <v>High Discount</v>
      </c>
    </row>
    <row r="49" spans="1:9" x14ac:dyDescent="0.35">
      <c r="A49" t="s">
        <v>34</v>
      </c>
      <c r="B49" s="3">
        <v>1200</v>
      </c>
      <c r="C49" s="3">
        <v>1950</v>
      </c>
      <c r="D49" s="1">
        <v>0.38</v>
      </c>
      <c r="E49" s="3">
        <f t="shared" ca="1" si="3"/>
        <v>0</v>
      </c>
      <c r="F49" s="2">
        <f t="shared" ca="1" si="3"/>
        <v>0</v>
      </c>
      <c r="G49" s="2">
        <f t="shared" si="0"/>
        <v>750</v>
      </c>
      <c r="H49" s="2" t="str">
        <f t="shared" ca="1" si="1"/>
        <v>Excellent</v>
      </c>
      <c r="I49" s="2" t="str">
        <f t="shared" si="2"/>
        <v>Medium Discount</v>
      </c>
    </row>
    <row r="50" spans="1:9" x14ac:dyDescent="0.35">
      <c r="A50" t="s">
        <v>35</v>
      </c>
      <c r="B50" s="3">
        <v>199</v>
      </c>
      <c r="C50" s="3">
        <v>504</v>
      </c>
      <c r="D50" s="1">
        <v>0.61</v>
      </c>
      <c r="E50" s="3">
        <f t="shared" ca="1" si="3"/>
        <v>0</v>
      </c>
      <c r="F50" s="2">
        <f t="shared" ca="1" si="3"/>
        <v>0</v>
      </c>
      <c r="G50" s="2">
        <f t="shared" si="0"/>
        <v>305</v>
      </c>
      <c r="H50" s="2" t="str">
        <f t="shared" ca="1" si="1"/>
        <v>Excellent</v>
      </c>
      <c r="I50" s="2" t="str">
        <f t="shared" si="2"/>
        <v>High Discount</v>
      </c>
    </row>
    <row r="51" spans="1:9" x14ac:dyDescent="0.35">
      <c r="A51" t="s">
        <v>36</v>
      </c>
      <c r="B51" s="3">
        <v>299</v>
      </c>
      <c r="C51" s="3">
        <v>600</v>
      </c>
      <c r="D51" s="1">
        <v>0.5</v>
      </c>
      <c r="E51" s="3">
        <f t="shared" ca="1" si="3"/>
        <v>0</v>
      </c>
      <c r="F51" s="2">
        <f t="shared" ca="1" si="3"/>
        <v>0</v>
      </c>
      <c r="G51" s="2">
        <f t="shared" si="0"/>
        <v>301</v>
      </c>
      <c r="H51" s="2" t="str">
        <f t="shared" ca="1" si="1"/>
        <v>Excellent</v>
      </c>
      <c r="I51" s="2" t="str">
        <f t="shared" si="2"/>
        <v>High Discount</v>
      </c>
    </row>
    <row r="52" spans="1:9" x14ac:dyDescent="0.35">
      <c r="A52" t="s">
        <v>37</v>
      </c>
      <c r="B52" s="3">
        <v>1660</v>
      </c>
      <c r="C52" s="3">
        <v>1699</v>
      </c>
      <c r="D52" s="1">
        <v>0.02</v>
      </c>
      <c r="E52" s="3">
        <f t="shared" ca="1" si="3"/>
        <v>0</v>
      </c>
      <c r="F52" s="2">
        <f t="shared" ca="1" si="3"/>
        <v>0</v>
      </c>
      <c r="G52" s="2">
        <f t="shared" si="0"/>
        <v>39</v>
      </c>
      <c r="H52" s="2" t="str">
        <f t="shared" ca="1" si="1"/>
        <v>Excellent</v>
      </c>
      <c r="I52" s="2" t="str">
        <f t="shared" si="2"/>
        <v>Low Discount</v>
      </c>
    </row>
    <row r="53" spans="1:9" x14ac:dyDescent="0.35">
      <c r="A53" t="s">
        <v>38</v>
      </c>
      <c r="B53" s="3">
        <v>299</v>
      </c>
      <c r="C53" s="3">
        <v>384</v>
      </c>
      <c r="D53" s="1">
        <v>0.22</v>
      </c>
      <c r="E53" s="3">
        <f t="shared" ca="1" si="3"/>
        <v>0</v>
      </c>
      <c r="F53" s="2">
        <f t="shared" ca="1" si="3"/>
        <v>0</v>
      </c>
      <c r="G53" s="2">
        <f t="shared" si="0"/>
        <v>85</v>
      </c>
      <c r="H53" s="2" t="str">
        <f t="shared" ca="1" si="1"/>
        <v>Excellent</v>
      </c>
      <c r="I53" s="2" t="str">
        <f t="shared" si="2"/>
        <v>Medium Discount</v>
      </c>
    </row>
    <row r="54" spans="1:9" x14ac:dyDescent="0.35">
      <c r="A54" t="s">
        <v>99</v>
      </c>
      <c r="B54" s="3">
        <v>1459</v>
      </c>
      <c r="C54" s="3">
        <v>1499</v>
      </c>
      <c r="D54" s="1">
        <v>0.03</v>
      </c>
      <c r="E54" s="3">
        <f t="shared" ca="1" si="3"/>
        <v>0</v>
      </c>
      <c r="F54" s="2">
        <f t="shared" ca="1" si="3"/>
        <v>0</v>
      </c>
      <c r="G54" s="2">
        <f t="shared" si="0"/>
        <v>40</v>
      </c>
      <c r="H54" s="2" t="str">
        <f t="shared" ca="1" si="1"/>
        <v>Excellent</v>
      </c>
      <c r="I54" s="2" t="str">
        <f t="shared" si="2"/>
        <v>Low Discount</v>
      </c>
    </row>
    <row r="55" spans="1:9" x14ac:dyDescent="0.35">
      <c r="A55" t="s">
        <v>39</v>
      </c>
      <c r="B55" s="3">
        <v>799</v>
      </c>
      <c r="C55" s="3">
        <v>1343</v>
      </c>
      <c r="D55" s="1">
        <v>0.41</v>
      </c>
      <c r="E55" s="3">
        <f t="shared" ca="1" si="3"/>
        <v>0</v>
      </c>
      <c r="F55" s="2">
        <f t="shared" ca="1" si="3"/>
        <v>0</v>
      </c>
      <c r="G55" s="2">
        <f t="shared" si="0"/>
        <v>544</v>
      </c>
      <c r="H55" s="2" t="str">
        <f t="shared" ca="1" si="1"/>
        <v>Excellent</v>
      </c>
      <c r="I55" s="2" t="str">
        <f t="shared" si="2"/>
        <v>High Discount</v>
      </c>
    </row>
    <row r="56" spans="1:9" x14ac:dyDescent="0.35">
      <c r="A56" t="s">
        <v>40</v>
      </c>
      <c r="B56" s="3">
        <v>499</v>
      </c>
      <c r="C56" s="3">
        <v>900</v>
      </c>
      <c r="D56" s="1">
        <v>0.45</v>
      </c>
      <c r="E56" s="3">
        <f t="shared" ca="1" si="3"/>
        <v>0</v>
      </c>
      <c r="F56" s="2">
        <f t="shared" ca="1" si="3"/>
        <v>0</v>
      </c>
      <c r="G56" s="2">
        <f t="shared" si="0"/>
        <v>401</v>
      </c>
      <c r="H56" s="2" t="str">
        <f t="shared" ca="1" si="1"/>
        <v>Excellent</v>
      </c>
      <c r="I56" s="2" t="str">
        <f t="shared" si="2"/>
        <v>High Discount</v>
      </c>
    </row>
    <row r="57" spans="1:9" x14ac:dyDescent="0.35">
      <c r="A57" t="s">
        <v>41</v>
      </c>
      <c r="B57" s="3">
        <v>699</v>
      </c>
      <c r="C57" s="3">
        <v>1343</v>
      </c>
      <c r="D57" s="1">
        <v>0.48</v>
      </c>
      <c r="E57" s="3">
        <f t="shared" ca="1" si="3"/>
        <v>0</v>
      </c>
      <c r="F57" s="2">
        <f t="shared" ca="1" si="3"/>
        <v>0</v>
      </c>
      <c r="G57" s="2">
        <f t="shared" si="0"/>
        <v>644</v>
      </c>
      <c r="H57" s="2" t="str">
        <f t="shared" ca="1" si="1"/>
        <v>Excellent</v>
      </c>
      <c r="I57" s="2" t="str">
        <f t="shared" si="2"/>
        <v>High Discount</v>
      </c>
    </row>
    <row r="58" spans="1:9" x14ac:dyDescent="0.35">
      <c r="A58" t="s">
        <v>42</v>
      </c>
      <c r="B58" s="3">
        <v>799</v>
      </c>
      <c r="C58" s="3">
        <v>1567</v>
      </c>
      <c r="D58" s="1">
        <v>0.49</v>
      </c>
      <c r="E58" s="3">
        <f t="shared" ca="1" si="3"/>
        <v>0</v>
      </c>
      <c r="F58" s="2">
        <f t="shared" ca="1" si="3"/>
        <v>0</v>
      </c>
      <c r="G58" s="2">
        <f t="shared" si="0"/>
        <v>768</v>
      </c>
      <c r="H58" s="2" t="str">
        <f t="shared" ca="1" si="1"/>
        <v>Excellent</v>
      </c>
      <c r="I58" s="2" t="str">
        <f t="shared" si="2"/>
        <v>High Discount</v>
      </c>
    </row>
    <row r="59" spans="1:9" x14ac:dyDescent="0.35">
      <c r="A59" t="s">
        <v>100</v>
      </c>
      <c r="B59" s="3">
        <v>2799</v>
      </c>
      <c r="C59" s="3">
        <v>3810</v>
      </c>
      <c r="D59" s="1">
        <v>0.27</v>
      </c>
      <c r="E59" s="3">
        <f t="shared" ca="1" si="3"/>
        <v>0</v>
      </c>
      <c r="F59" s="2">
        <f t="shared" ca="1" si="3"/>
        <v>0</v>
      </c>
      <c r="G59" s="2">
        <f t="shared" si="0"/>
        <v>1011</v>
      </c>
      <c r="H59" s="2" t="str">
        <f t="shared" ca="1" si="1"/>
        <v>Excellent</v>
      </c>
      <c r="I59" s="2" t="str">
        <f t="shared" si="2"/>
        <v>Medium Discount</v>
      </c>
    </row>
    <row r="60" spans="1:9" x14ac:dyDescent="0.35">
      <c r="A60" t="s">
        <v>40</v>
      </c>
      <c r="B60" s="3">
        <v>399</v>
      </c>
      <c r="C60" s="3">
        <v>896</v>
      </c>
      <c r="D60" s="1">
        <v>0.55000000000000004</v>
      </c>
      <c r="E60" s="3">
        <f t="shared" ca="1" si="3"/>
        <v>0</v>
      </c>
      <c r="F60" s="2">
        <f t="shared" ca="1" si="3"/>
        <v>0</v>
      </c>
      <c r="G60" s="2">
        <f t="shared" si="0"/>
        <v>497</v>
      </c>
      <c r="H60" s="2" t="str">
        <f t="shared" ca="1" si="1"/>
        <v>Excellent</v>
      </c>
      <c r="I60" s="2" t="str">
        <f t="shared" si="2"/>
        <v>High Discount</v>
      </c>
    </row>
    <row r="61" spans="1:9" x14ac:dyDescent="0.35">
      <c r="A61" t="s">
        <v>43</v>
      </c>
      <c r="B61" s="3">
        <v>2170</v>
      </c>
      <c r="C61" s="3">
        <v>2500</v>
      </c>
      <c r="D61" s="1">
        <v>0.13</v>
      </c>
      <c r="E61" s="3">
        <v>6</v>
      </c>
      <c r="F61" s="2">
        <v>2.5</v>
      </c>
      <c r="G61" s="2">
        <f t="shared" si="0"/>
        <v>330</v>
      </c>
      <c r="H61" s="2" t="str">
        <f t="shared" si="1"/>
        <v>Poor</v>
      </c>
      <c r="I61" s="2" t="str">
        <f t="shared" si="2"/>
        <v>Low Discount</v>
      </c>
    </row>
    <row r="62" spans="1:9" x14ac:dyDescent="0.35">
      <c r="A62" t="s">
        <v>44</v>
      </c>
      <c r="B62" s="3">
        <v>458</v>
      </c>
      <c r="C62" s="3">
        <v>986</v>
      </c>
      <c r="D62" s="1">
        <v>0.54</v>
      </c>
      <c r="E62" s="3">
        <v>10</v>
      </c>
      <c r="F62" s="2">
        <v>3</v>
      </c>
      <c r="G62" s="2">
        <f t="shared" si="0"/>
        <v>528</v>
      </c>
      <c r="H62" s="2" t="str">
        <f t="shared" si="1"/>
        <v>Average</v>
      </c>
      <c r="I62" s="2" t="str">
        <f t="shared" si="2"/>
        <v>High Discount</v>
      </c>
    </row>
    <row r="63" spans="1:9" x14ac:dyDescent="0.35">
      <c r="A63" t="s">
        <v>101</v>
      </c>
      <c r="B63" s="3">
        <v>2115</v>
      </c>
      <c r="C63" s="3">
        <v>4700</v>
      </c>
      <c r="D63" s="1">
        <v>0.55000000000000004</v>
      </c>
      <c r="E63" s="3">
        <v>13</v>
      </c>
      <c r="F63" s="2">
        <v>2.1</v>
      </c>
      <c r="G63" s="2">
        <f t="shared" si="0"/>
        <v>2585</v>
      </c>
      <c r="H63" s="2" t="str">
        <f t="shared" si="1"/>
        <v>Poor</v>
      </c>
      <c r="I63" s="2" t="str">
        <f t="shared" si="2"/>
        <v>High Discount</v>
      </c>
    </row>
    <row r="64" spans="1:9" x14ac:dyDescent="0.35">
      <c r="A64" t="s">
        <v>45</v>
      </c>
      <c r="B64" s="3">
        <v>445</v>
      </c>
      <c r="C64" s="3">
        <v>873</v>
      </c>
      <c r="D64" s="1">
        <v>0.49</v>
      </c>
      <c r="E64" s="3">
        <v>69</v>
      </c>
      <c r="F64" s="2">
        <v>2.8</v>
      </c>
      <c r="G64" s="2">
        <f t="shared" si="0"/>
        <v>428</v>
      </c>
      <c r="H64" s="2" t="str">
        <f t="shared" si="1"/>
        <v>Poor</v>
      </c>
      <c r="I64" s="2" t="str">
        <f t="shared" si="2"/>
        <v>High Discount</v>
      </c>
    </row>
    <row r="65" spans="1:9" x14ac:dyDescent="0.35">
      <c r="A65" t="s">
        <v>46</v>
      </c>
      <c r="B65" s="3">
        <v>325</v>
      </c>
      <c r="C65" s="3">
        <v>680</v>
      </c>
      <c r="D65" s="1">
        <v>0.52</v>
      </c>
      <c r="E65" s="3">
        <v>15</v>
      </c>
      <c r="F65" s="2">
        <v>2.7</v>
      </c>
      <c r="G65" s="2">
        <f t="shared" si="0"/>
        <v>355</v>
      </c>
      <c r="H65" s="2" t="str">
        <f t="shared" si="1"/>
        <v>Poor</v>
      </c>
      <c r="I65" s="2" t="str">
        <f t="shared" si="2"/>
        <v>High Discount</v>
      </c>
    </row>
    <row r="66" spans="1:9" x14ac:dyDescent="0.35">
      <c r="A66" t="s">
        <v>47</v>
      </c>
      <c r="B66" s="3">
        <v>1220</v>
      </c>
      <c r="C66" s="3">
        <v>1555</v>
      </c>
      <c r="D66" s="1">
        <v>0.22</v>
      </c>
      <c r="E66" s="3">
        <v>16</v>
      </c>
      <c r="F66" s="2">
        <v>2.9</v>
      </c>
      <c r="G66" s="2">
        <f t="shared" si="0"/>
        <v>335</v>
      </c>
      <c r="H66" s="2" t="str">
        <f t="shared" si="1"/>
        <v>Poor</v>
      </c>
      <c r="I66" s="2" t="str">
        <f t="shared" si="2"/>
        <v>Medium Discount</v>
      </c>
    </row>
    <row r="67" spans="1:9" x14ac:dyDescent="0.35">
      <c r="A67" t="s">
        <v>48</v>
      </c>
      <c r="B67" s="3">
        <v>990</v>
      </c>
      <c r="C67" s="3">
        <v>1814</v>
      </c>
      <c r="D67" s="1">
        <v>0.45</v>
      </c>
      <c r="E67" s="3">
        <v>6</v>
      </c>
      <c r="F67" s="2">
        <v>2.2000000000000002</v>
      </c>
      <c r="G67" s="2">
        <f t="shared" ref="G67:G112" si="4">C67-B67</f>
        <v>824</v>
      </c>
      <c r="H67" s="2" t="str">
        <f t="shared" ref="H67:H112" si="5">IF(F67&lt;3, "Poor", IF(F67&lt;=4, "Average","Excellent"))</f>
        <v>Poor</v>
      </c>
      <c r="I67" s="2" t="str">
        <f t="shared" ref="I67:I112" si="6">IF(D67&lt;20%, "Low Discount", IF(D67&lt;=40%, "Medium Discount", "High Discount"))</f>
        <v>High Discount</v>
      </c>
    </row>
    <row r="68" spans="1:9" x14ac:dyDescent="0.35">
      <c r="A68" t="s">
        <v>49</v>
      </c>
      <c r="B68" s="3">
        <v>1000</v>
      </c>
      <c r="C68" s="3">
        <v>2000</v>
      </c>
      <c r="D68" s="1">
        <v>0.5</v>
      </c>
      <c r="E68" s="3">
        <v>7</v>
      </c>
      <c r="F68" s="2">
        <v>2.2999999999999998</v>
      </c>
      <c r="G68" s="2">
        <f t="shared" si="4"/>
        <v>1000</v>
      </c>
      <c r="H68" s="2" t="str">
        <f t="shared" si="5"/>
        <v>Poor</v>
      </c>
      <c r="I68" s="2" t="str">
        <f t="shared" si="6"/>
        <v>High Discount</v>
      </c>
    </row>
    <row r="69" spans="1:9" x14ac:dyDescent="0.35">
      <c r="A69" t="s">
        <v>102</v>
      </c>
      <c r="B69" s="3">
        <v>3750</v>
      </c>
      <c r="C69" s="3">
        <v>6143</v>
      </c>
      <c r="D69" s="1">
        <v>0.39</v>
      </c>
      <c r="E69" s="3">
        <v>5</v>
      </c>
      <c r="F69" s="2">
        <v>3</v>
      </c>
      <c r="G69" s="2">
        <f t="shared" si="4"/>
        <v>2393</v>
      </c>
      <c r="H69" s="2" t="str">
        <f t="shared" si="5"/>
        <v>Average</v>
      </c>
      <c r="I69" s="2" t="str">
        <f t="shared" si="6"/>
        <v>Medium Discount</v>
      </c>
    </row>
    <row r="70" spans="1:9" x14ac:dyDescent="0.35">
      <c r="A70" t="s">
        <v>50</v>
      </c>
      <c r="B70" s="3">
        <v>382</v>
      </c>
      <c r="C70" s="3">
        <v>700</v>
      </c>
      <c r="D70" s="1">
        <v>0.45</v>
      </c>
      <c r="E70" s="3">
        <v>17</v>
      </c>
      <c r="F70" s="2">
        <v>2.6</v>
      </c>
      <c r="G70" s="2">
        <f t="shared" si="4"/>
        <v>318</v>
      </c>
      <c r="H70" s="2" t="str">
        <f t="shared" si="5"/>
        <v>Poor</v>
      </c>
      <c r="I70" s="2" t="str">
        <f t="shared" si="6"/>
        <v>High Discount</v>
      </c>
    </row>
    <row r="71" spans="1:9" x14ac:dyDescent="0.35">
      <c r="A71" t="s">
        <v>51</v>
      </c>
      <c r="B71" s="3">
        <v>2300</v>
      </c>
      <c r="C71" s="3">
        <v>3240</v>
      </c>
      <c r="D71" s="1">
        <v>0.28999999999999998</v>
      </c>
      <c r="E71" s="3">
        <v>5</v>
      </c>
      <c r="F71" s="2">
        <v>3</v>
      </c>
      <c r="G71" s="2">
        <f t="shared" si="4"/>
        <v>940</v>
      </c>
      <c r="H71" s="2" t="str">
        <f t="shared" si="5"/>
        <v>Average</v>
      </c>
      <c r="I71" s="2" t="str">
        <f t="shared" si="6"/>
        <v>Medium Discount</v>
      </c>
    </row>
    <row r="72" spans="1:9" x14ac:dyDescent="0.35">
      <c r="A72" t="s">
        <v>52</v>
      </c>
      <c r="B72" s="3">
        <v>345</v>
      </c>
      <c r="C72" s="3">
        <v>602</v>
      </c>
      <c r="D72" s="1">
        <v>0.43</v>
      </c>
      <c r="E72" s="3">
        <v>6</v>
      </c>
      <c r="F72" s="2">
        <v>2.2999999999999998</v>
      </c>
      <c r="G72" s="2">
        <f t="shared" si="4"/>
        <v>257</v>
      </c>
      <c r="H72" s="2" t="str">
        <f t="shared" si="5"/>
        <v>Poor</v>
      </c>
      <c r="I72" s="2" t="str">
        <f t="shared" si="6"/>
        <v>High Discount</v>
      </c>
    </row>
    <row r="73" spans="1:9" x14ac:dyDescent="0.35">
      <c r="A73" t="s">
        <v>53</v>
      </c>
      <c r="B73" s="3">
        <v>509</v>
      </c>
      <c r="C73" s="3">
        <v>899</v>
      </c>
      <c r="D73" s="1">
        <v>0.43</v>
      </c>
      <c r="E73" s="3">
        <v>5</v>
      </c>
      <c r="F73" s="2">
        <v>3</v>
      </c>
      <c r="G73" s="2">
        <f t="shared" si="4"/>
        <v>390</v>
      </c>
      <c r="H73" s="2" t="str">
        <f t="shared" si="5"/>
        <v>Average</v>
      </c>
      <c r="I73" s="2" t="str">
        <f t="shared" si="6"/>
        <v>High Discount</v>
      </c>
    </row>
    <row r="74" spans="1:9" x14ac:dyDescent="0.35">
      <c r="A74" t="s">
        <v>103</v>
      </c>
      <c r="B74" s="3">
        <v>968</v>
      </c>
      <c r="C74" s="3">
        <v>1814</v>
      </c>
      <c r="D74" s="1">
        <v>0.47</v>
      </c>
      <c r="E74" s="3">
        <v>6</v>
      </c>
      <c r="F74" s="2">
        <v>2.2000000000000002</v>
      </c>
      <c r="G74" s="2">
        <f t="shared" si="4"/>
        <v>846</v>
      </c>
      <c r="H74" s="2" t="str">
        <f t="shared" si="5"/>
        <v>Poor</v>
      </c>
      <c r="I74" s="2" t="str">
        <f t="shared" si="6"/>
        <v>High Discount</v>
      </c>
    </row>
    <row r="75" spans="1:9" x14ac:dyDescent="0.35">
      <c r="A75" t="s">
        <v>104</v>
      </c>
      <c r="B75" s="3">
        <v>1570</v>
      </c>
      <c r="C75" s="3">
        <v>2988</v>
      </c>
      <c r="D75" s="1">
        <v>0.47</v>
      </c>
      <c r="E75" s="3">
        <v>7</v>
      </c>
      <c r="F75" s="2">
        <v>2.1</v>
      </c>
      <c r="G75" s="2">
        <f t="shared" si="4"/>
        <v>1418</v>
      </c>
      <c r="H75" s="2" t="str">
        <f t="shared" si="5"/>
        <v>Poor</v>
      </c>
      <c r="I75" s="2" t="str">
        <f t="shared" si="6"/>
        <v>High Discount</v>
      </c>
    </row>
    <row r="76" spans="1:9" x14ac:dyDescent="0.35">
      <c r="A76" t="s">
        <v>54</v>
      </c>
      <c r="B76" s="3">
        <v>790</v>
      </c>
      <c r="C76" s="3">
        <v>1485</v>
      </c>
      <c r="D76" s="1">
        <v>0.47</v>
      </c>
      <c r="E76" s="3">
        <f t="shared" ref="E76:F79" ca="1" si="7">AVERAGE(E55:E169)</f>
        <v>0</v>
      </c>
      <c r="F76" s="2">
        <f t="shared" ca="1" si="7"/>
        <v>0</v>
      </c>
      <c r="G76" s="2">
        <f t="shared" si="4"/>
        <v>695</v>
      </c>
      <c r="H76" s="2" t="str">
        <f t="shared" ca="1" si="5"/>
        <v>Excellent</v>
      </c>
      <c r="I76" s="2" t="str">
        <f t="shared" si="6"/>
        <v>High Discount</v>
      </c>
    </row>
    <row r="77" spans="1:9" x14ac:dyDescent="0.35">
      <c r="A77" t="s">
        <v>55</v>
      </c>
      <c r="B77" s="3">
        <v>690</v>
      </c>
      <c r="C77" s="3">
        <v>1200</v>
      </c>
      <c r="D77" s="1">
        <v>0.43</v>
      </c>
      <c r="E77" s="3">
        <f t="shared" ca="1" si="7"/>
        <v>0</v>
      </c>
      <c r="F77" s="2">
        <f t="shared" ca="1" si="7"/>
        <v>0</v>
      </c>
      <c r="G77" s="2">
        <f t="shared" si="4"/>
        <v>510</v>
      </c>
      <c r="H77" s="2" t="str">
        <f t="shared" ca="1" si="5"/>
        <v>Excellent</v>
      </c>
      <c r="I77" s="2" t="str">
        <f t="shared" si="6"/>
        <v>High Discount</v>
      </c>
    </row>
    <row r="78" spans="1:9" x14ac:dyDescent="0.35">
      <c r="A78" t="s">
        <v>56</v>
      </c>
      <c r="B78" s="3">
        <v>1732</v>
      </c>
      <c r="C78" s="3">
        <v>1799</v>
      </c>
      <c r="D78" s="1">
        <v>0.04</v>
      </c>
      <c r="E78" s="3">
        <f t="shared" ca="1" si="7"/>
        <v>0</v>
      </c>
      <c r="F78" s="2">
        <f t="shared" ca="1" si="7"/>
        <v>0</v>
      </c>
      <c r="G78" s="2">
        <f t="shared" si="4"/>
        <v>67</v>
      </c>
      <c r="H78" s="2" t="str">
        <f t="shared" ca="1" si="5"/>
        <v>Excellent</v>
      </c>
      <c r="I78" s="2" t="str">
        <f t="shared" si="6"/>
        <v>Low Discount</v>
      </c>
    </row>
    <row r="79" spans="1:9" x14ac:dyDescent="0.35">
      <c r="A79" t="s">
        <v>57</v>
      </c>
      <c r="B79" s="3">
        <v>230</v>
      </c>
      <c r="C79" s="3">
        <v>450</v>
      </c>
      <c r="D79" s="1">
        <v>0.49</v>
      </c>
      <c r="E79" s="3">
        <f t="shared" ca="1" si="7"/>
        <v>0</v>
      </c>
      <c r="F79" s="2">
        <f t="shared" ca="1" si="7"/>
        <v>0</v>
      </c>
      <c r="G79" s="2">
        <f t="shared" si="4"/>
        <v>220</v>
      </c>
      <c r="H79" s="2" t="str">
        <f t="shared" ca="1" si="5"/>
        <v>Excellent</v>
      </c>
      <c r="I79" s="2" t="str">
        <f t="shared" si="6"/>
        <v>High Discount</v>
      </c>
    </row>
    <row r="80" spans="1:9" x14ac:dyDescent="0.35">
      <c r="A80" t="s">
        <v>105</v>
      </c>
      <c r="B80" s="3">
        <v>1189</v>
      </c>
      <c r="C80" s="3">
        <v>2199</v>
      </c>
      <c r="D80" s="1">
        <v>0.46</v>
      </c>
      <c r="E80" s="3">
        <v>1</v>
      </c>
      <c r="F80" s="2">
        <v>3</v>
      </c>
      <c r="G80" s="2">
        <f t="shared" si="4"/>
        <v>1010</v>
      </c>
      <c r="H80" s="2" t="str">
        <f t="shared" si="5"/>
        <v>Average</v>
      </c>
      <c r="I80" s="2" t="str">
        <f t="shared" si="6"/>
        <v>High Discount</v>
      </c>
    </row>
    <row r="81" spans="1:9" x14ac:dyDescent="0.35">
      <c r="A81" t="s">
        <v>106</v>
      </c>
      <c r="B81" s="3">
        <v>979</v>
      </c>
      <c r="C81" s="3">
        <v>1920</v>
      </c>
      <c r="D81" s="1">
        <v>0.49</v>
      </c>
      <c r="E81" s="3">
        <v>1</v>
      </c>
      <c r="F81" s="2">
        <v>5</v>
      </c>
      <c r="G81" s="2">
        <f t="shared" si="4"/>
        <v>941</v>
      </c>
      <c r="H81" s="2" t="str">
        <f t="shared" si="5"/>
        <v>Excellent</v>
      </c>
      <c r="I81" s="2" t="str">
        <f t="shared" si="6"/>
        <v>High Discount</v>
      </c>
    </row>
    <row r="82" spans="1:9" x14ac:dyDescent="0.35">
      <c r="A82" t="s">
        <v>58</v>
      </c>
      <c r="B82" s="3">
        <v>1460</v>
      </c>
      <c r="C82" s="3">
        <v>2290</v>
      </c>
      <c r="D82" s="1">
        <v>0.36</v>
      </c>
      <c r="E82" s="3">
        <f ca="1">AVERAGE(E61:E175)</f>
        <v>0</v>
      </c>
      <c r="F82" s="2">
        <f ca="1">AVERAGE(F61:F175)</f>
        <v>0</v>
      </c>
      <c r="G82" s="2">
        <f t="shared" si="4"/>
        <v>830</v>
      </c>
      <c r="H82" s="2" t="str">
        <f t="shared" ca="1" si="5"/>
        <v>Excellent</v>
      </c>
      <c r="I82" s="2" t="str">
        <f t="shared" si="6"/>
        <v>Medium Discount</v>
      </c>
    </row>
    <row r="83" spans="1:9" x14ac:dyDescent="0.35">
      <c r="A83" t="s">
        <v>59</v>
      </c>
      <c r="B83" s="3">
        <v>1666</v>
      </c>
      <c r="C83" s="3">
        <v>1699</v>
      </c>
      <c r="D83" s="1">
        <v>0.02</v>
      </c>
      <c r="E83" s="3">
        <f ca="1">AVERAGE(E62:E176)</f>
        <v>0</v>
      </c>
      <c r="F83" s="2">
        <f ca="1">AVERAGE(F62:F176)</f>
        <v>0</v>
      </c>
      <c r="G83" s="2">
        <f t="shared" si="4"/>
        <v>33</v>
      </c>
      <c r="H83" s="2" t="str">
        <f t="shared" ca="1" si="5"/>
        <v>Excellent</v>
      </c>
      <c r="I83" s="2" t="str">
        <f t="shared" si="6"/>
        <v>Low Discount</v>
      </c>
    </row>
    <row r="84" spans="1:9" x14ac:dyDescent="0.35">
      <c r="A84" t="s">
        <v>60</v>
      </c>
      <c r="B84" s="3">
        <v>330</v>
      </c>
      <c r="C84" s="3">
        <v>647</v>
      </c>
      <c r="D84" s="1">
        <v>0.49</v>
      </c>
      <c r="E84" s="3">
        <v>1</v>
      </c>
      <c r="F84" s="2">
        <v>4</v>
      </c>
      <c r="G84" s="2">
        <f t="shared" si="4"/>
        <v>317</v>
      </c>
      <c r="H84" s="2" t="str">
        <f t="shared" si="5"/>
        <v>Average</v>
      </c>
      <c r="I84" s="2" t="str">
        <f t="shared" si="6"/>
        <v>High Discount</v>
      </c>
    </row>
    <row r="85" spans="1:9" x14ac:dyDescent="0.35">
      <c r="A85" t="s">
        <v>35</v>
      </c>
      <c r="B85" s="3">
        <v>176</v>
      </c>
      <c r="C85" s="3">
        <v>345</v>
      </c>
      <c r="D85" s="1">
        <v>0.49</v>
      </c>
      <c r="E85" s="3">
        <f t="shared" ref="E85:F102" ca="1" si="8">AVERAGE(E64:E178)</f>
        <v>0</v>
      </c>
      <c r="F85" s="2">
        <f t="shared" ca="1" si="8"/>
        <v>0</v>
      </c>
      <c r="G85" s="2">
        <f t="shared" si="4"/>
        <v>169</v>
      </c>
      <c r="H85" s="2" t="str">
        <f t="shared" ca="1" si="5"/>
        <v>Excellent</v>
      </c>
      <c r="I85" s="2" t="str">
        <f t="shared" si="6"/>
        <v>High Discount</v>
      </c>
    </row>
    <row r="86" spans="1:9" x14ac:dyDescent="0.35">
      <c r="A86" t="s">
        <v>61</v>
      </c>
      <c r="B86" s="3">
        <v>1466</v>
      </c>
      <c r="C86" s="3">
        <v>1699</v>
      </c>
      <c r="D86" s="1">
        <v>0.14000000000000001</v>
      </c>
      <c r="E86" s="3">
        <f t="shared" ca="1" si="8"/>
        <v>0</v>
      </c>
      <c r="F86" s="2">
        <f t="shared" ca="1" si="8"/>
        <v>0</v>
      </c>
      <c r="G86" s="2">
        <f t="shared" si="4"/>
        <v>233</v>
      </c>
      <c r="H86" s="2" t="str">
        <f t="shared" ca="1" si="5"/>
        <v>Excellent</v>
      </c>
      <c r="I86" s="2" t="str">
        <f t="shared" si="6"/>
        <v>Low Discount</v>
      </c>
    </row>
    <row r="87" spans="1:9" x14ac:dyDescent="0.35">
      <c r="A87" t="s">
        <v>62</v>
      </c>
      <c r="B87" s="3">
        <v>274</v>
      </c>
      <c r="C87" s="3">
        <v>537</v>
      </c>
      <c r="D87" s="1">
        <v>0.49</v>
      </c>
      <c r="E87" s="3">
        <f t="shared" ca="1" si="8"/>
        <v>0</v>
      </c>
      <c r="F87" s="2">
        <f t="shared" ca="1" si="8"/>
        <v>0</v>
      </c>
      <c r="G87" s="2">
        <f t="shared" si="4"/>
        <v>263</v>
      </c>
      <c r="H87" s="2" t="str">
        <f t="shared" ca="1" si="5"/>
        <v>Excellent</v>
      </c>
      <c r="I87" s="2" t="str">
        <f t="shared" si="6"/>
        <v>High Discount</v>
      </c>
    </row>
    <row r="88" spans="1:9" x14ac:dyDescent="0.35">
      <c r="A88" t="s">
        <v>107</v>
      </c>
      <c r="B88" s="3">
        <v>799</v>
      </c>
      <c r="C88" s="3">
        <v>900</v>
      </c>
      <c r="D88" s="1">
        <v>0.11</v>
      </c>
      <c r="E88" s="3">
        <f t="shared" ca="1" si="8"/>
        <v>0</v>
      </c>
      <c r="F88" s="2">
        <f t="shared" ca="1" si="8"/>
        <v>0</v>
      </c>
      <c r="G88" s="2">
        <f t="shared" si="4"/>
        <v>101</v>
      </c>
      <c r="H88" s="2" t="str">
        <f t="shared" ca="1" si="5"/>
        <v>Excellent</v>
      </c>
      <c r="I88" s="2" t="str">
        <f t="shared" si="6"/>
        <v>Low Discount</v>
      </c>
    </row>
    <row r="89" spans="1:9" x14ac:dyDescent="0.35">
      <c r="A89" t="s">
        <v>42</v>
      </c>
      <c r="B89" s="3">
        <v>657</v>
      </c>
      <c r="C89" s="3">
        <v>1288</v>
      </c>
      <c r="D89" s="1">
        <v>0.49</v>
      </c>
      <c r="E89" s="3">
        <f t="shared" ca="1" si="8"/>
        <v>0</v>
      </c>
      <c r="F89" s="2">
        <f t="shared" ca="1" si="8"/>
        <v>0</v>
      </c>
      <c r="G89" s="2">
        <f t="shared" si="4"/>
        <v>631</v>
      </c>
      <c r="H89" s="2" t="str">
        <f t="shared" ca="1" si="5"/>
        <v>Excellent</v>
      </c>
      <c r="I89" s="2" t="str">
        <f t="shared" si="6"/>
        <v>High Discount</v>
      </c>
    </row>
    <row r="90" spans="1:9" x14ac:dyDescent="0.35">
      <c r="A90" t="s">
        <v>108</v>
      </c>
      <c r="B90" s="3">
        <v>1468</v>
      </c>
      <c r="C90" s="3">
        <v>1699</v>
      </c>
      <c r="D90" s="1">
        <v>0.14000000000000001</v>
      </c>
      <c r="E90" s="3">
        <f t="shared" ca="1" si="8"/>
        <v>0</v>
      </c>
      <c r="F90" s="2">
        <f t="shared" ca="1" si="8"/>
        <v>0</v>
      </c>
      <c r="G90" s="2">
        <f t="shared" si="4"/>
        <v>231</v>
      </c>
      <c r="H90" s="2" t="str">
        <f t="shared" ca="1" si="5"/>
        <v>Excellent</v>
      </c>
      <c r="I90" s="2" t="str">
        <f t="shared" si="6"/>
        <v>Low Discount</v>
      </c>
    </row>
    <row r="91" spans="1:9" x14ac:dyDescent="0.35">
      <c r="A91" t="s">
        <v>63</v>
      </c>
      <c r="B91" s="3">
        <v>630</v>
      </c>
      <c r="C91" s="3">
        <v>1100</v>
      </c>
      <c r="D91" s="1">
        <v>0.43</v>
      </c>
      <c r="E91" s="3">
        <f t="shared" ca="1" si="8"/>
        <v>0</v>
      </c>
      <c r="F91" s="2">
        <f t="shared" ca="1" si="8"/>
        <v>0</v>
      </c>
      <c r="G91" s="2">
        <f t="shared" si="4"/>
        <v>470</v>
      </c>
      <c r="H91" s="2" t="str">
        <f t="shared" ca="1" si="5"/>
        <v>Excellent</v>
      </c>
      <c r="I91" s="2" t="str">
        <f t="shared" si="6"/>
        <v>High Discount</v>
      </c>
    </row>
    <row r="92" spans="1:9" x14ac:dyDescent="0.35">
      <c r="A92" t="s">
        <v>64</v>
      </c>
      <c r="B92" s="3">
        <v>850</v>
      </c>
      <c r="C92" s="3">
        <v>1700</v>
      </c>
      <c r="D92" s="1">
        <v>0.5</v>
      </c>
      <c r="E92" s="3">
        <f t="shared" ca="1" si="8"/>
        <v>0</v>
      </c>
      <c r="F92" s="2">
        <f t="shared" ca="1" si="8"/>
        <v>0</v>
      </c>
      <c r="G92" s="2">
        <f t="shared" si="4"/>
        <v>850</v>
      </c>
      <c r="H92" s="2" t="str">
        <f t="shared" ca="1" si="5"/>
        <v>Excellent</v>
      </c>
      <c r="I92" s="2" t="str">
        <f t="shared" si="6"/>
        <v>High Discount</v>
      </c>
    </row>
    <row r="93" spans="1:9" x14ac:dyDescent="0.35">
      <c r="A93" t="s">
        <v>65</v>
      </c>
      <c r="B93" s="3">
        <v>1300</v>
      </c>
      <c r="C93" s="3">
        <v>2500</v>
      </c>
      <c r="D93" s="1">
        <v>0.48</v>
      </c>
      <c r="E93" s="3">
        <f t="shared" ca="1" si="8"/>
        <v>0</v>
      </c>
      <c r="F93" s="2">
        <f t="shared" ca="1" si="8"/>
        <v>0</v>
      </c>
      <c r="G93" s="2">
        <f t="shared" si="4"/>
        <v>1200</v>
      </c>
      <c r="H93" s="2" t="str">
        <f t="shared" ca="1" si="5"/>
        <v>Excellent</v>
      </c>
      <c r="I93" s="2" t="str">
        <f t="shared" si="6"/>
        <v>High Discount</v>
      </c>
    </row>
    <row r="94" spans="1:9" x14ac:dyDescent="0.35">
      <c r="A94" t="s">
        <v>66</v>
      </c>
      <c r="B94" s="3">
        <v>105</v>
      </c>
      <c r="C94" s="3">
        <v>200</v>
      </c>
      <c r="D94" s="1">
        <v>0.48</v>
      </c>
      <c r="E94" s="3">
        <f t="shared" ca="1" si="8"/>
        <v>0</v>
      </c>
      <c r="F94" s="2">
        <f t="shared" ca="1" si="8"/>
        <v>0</v>
      </c>
      <c r="G94" s="2">
        <f t="shared" si="4"/>
        <v>95</v>
      </c>
      <c r="H94" s="2" t="str">
        <f t="shared" ca="1" si="5"/>
        <v>Excellent</v>
      </c>
      <c r="I94" s="2" t="str">
        <f t="shared" si="6"/>
        <v>High Discount</v>
      </c>
    </row>
    <row r="95" spans="1:9" x14ac:dyDescent="0.35">
      <c r="A95" t="s">
        <v>67</v>
      </c>
      <c r="B95" s="3">
        <v>899</v>
      </c>
      <c r="C95" s="3">
        <v>1699</v>
      </c>
      <c r="D95" s="1">
        <v>0.47</v>
      </c>
      <c r="E95" s="3">
        <f t="shared" ca="1" si="8"/>
        <v>0</v>
      </c>
      <c r="F95" s="2">
        <f t="shared" ca="1" si="8"/>
        <v>0</v>
      </c>
      <c r="G95" s="2">
        <f t="shared" si="4"/>
        <v>800</v>
      </c>
      <c r="H95" s="2" t="str">
        <f t="shared" ca="1" si="5"/>
        <v>Excellent</v>
      </c>
      <c r="I95" s="2" t="str">
        <f t="shared" si="6"/>
        <v>High Discount</v>
      </c>
    </row>
    <row r="96" spans="1:9" x14ac:dyDescent="0.35">
      <c r="A96" t="s">
        <v>109</v>
      </c>
      <c r="B96" s="3">
        <v>1200</v>
      </c>
      <c r="C96" s="3">
        <v>2400</v>
      </c>
      <c r="D96" s="1">
        <v>0.5</v>
      </c>
      <c r="E96" s="3">
        <f t="shared" ca="1" si="8"/>
        <v>0</v>
      </c>
      <c r="F96" s="2">
        <f t="shared" ca="1" si="8"/>
        <v>0</v>
      </c>
      <c r="G96" s="2">
        <f t="shared" si="4"/>
        <v>1200</v>
      </c>
      <c r="H96" s="2" t="str">
        <f t="shared" ca="1" si="5"/>
        <v>Excellent</v>
      </c>
      <c r="I96" s="2" t="str">
        <f t="shared" si="6"/>
        <v>High Discount</v>
      </c>
    </row>
    <row r="97" spans="1:9" x14ac:dyDescent="0.35">
      <c r="A97" t="s">
        <v>68</v>
      </c>
      <c r="B97" s="3">
        <v>1526</v>
      </c>
      <c r="C97" s="3">
        <v>1660</v>
      </c>
      <c r="D97" s="1">
        <v>0.08</v>
      </c>
      <c r="E97" s="3">
        <f t="shared" ca="1" si="8"/>
        <v>0</v>
      </c>
      <c r="F97" s="2">
        <f t="shared" ca="1" si="8"/>
        <v>0</v>
      </c>
      <c r="G97" s="2">
        <f t="shared" si="4"/>
        <v>134</v>
      </c>
      <c r="H97" s="2" t="str">
        <f t="shared" ca="1" si="5"/>
        <v>Excellent</v>
      </c>
      <c r="I97" s="2" t="str">
        <f t="shared" si="6"/>
        <v>Low Discount</v>
      </c>
    </row>
    <row r="98" spans="1:9" x14ac:dyDescent="0.35">
      <c r="A98" t="s">
        <v>69</v>
      </c>
      <c r="B98" s="3">
        <v>1462</v>
      </c>
      <c r="C98" s="3">
        <v>1499</v>
      </c>
      <c r="D98" s="1">
        <v>0.02</v>
      </c>
      <c r="E98" s="3">
        <f t="shared" ca="1" si="8"/>
        <v>0</v>
      </c>
      <c r="F98" s="2">
        <f t="shared" ca="1" si="8"/>
        <v>0</v>
      </c>
      <c r="G98" s="2">
        <f t="shared" si="4"/>
        <v>37</v>
      </c>
      <c r="H98" s="2" t="str">
        <f t="shared" ca="1" si="5"/>
        <v>Excellent</v>
      </c>
      <c r="I98" s="2" t="str">
        <f t="shared" si="6"/>
        <v>Low Discount</v>
      </c>
    </row>
    <row r="99" spans="1:9" x14ac:dyDescent="0.35">
      <c r="A99" t="s">
        <v>70</v>
      </c>
      <c r="B99" s="3">
        <v>248</v>
      </c>
      <c r="C99" s="3">
        <v>486</v>
      </c>
      <c r="D99" s="1">
        <v>0.49</v>
      </c>
      <c r="E99" s="3">
        <f t="shared" ca="1" si="8"/>
        <v>0</v>
      </c>
      <c r="F99" s="2">
        <f t="shared" ca="1" si="8"/>
        <v>0</v>
      </c>
      <c r="G99" s="2">
        <f t="shared" si="4"/>
        <v>238</v>
      </c>
      <c r="H99" s="2" t="str">
        <f t="shared" ca="1" si="5"/>
        <v>Excellent</v>
      </c>
      <c r="I99" s="2" t="str">
        <f t="shared" si="6"/>
        <v>High Discount</v>
      </c>
    </row>
    <row r="100" spans="1:9" x14ac:dyDescent="0.35">
      <c r="A100" t="s">
        <v>71</v>
      </c>
      <c r="B100" s="3">
        <v>3546</v>
      </c>
      <c r="C100" s="3">
        <v>3699</v>
      </c>
      <c r="D100" s="1">
        <v>0.04</v>
      </c>
      <c r="E100" s="3">
        <f t="shared" ca="1" si="8"/>
        <v>0</v>
      </c>
      <c r="F100" s="2">
        <f t="shared" ca="1" si="8"/>
        <v>0</v>
      </c>
      <c r="G100" s="2">
        <f t="shared" si="4"/>
        <v>153</v>
      </c>
      <c r="H100" s="2" t="str">
        <f t="shared" ca="1" si="5"/>
        <v>Excellent</v>
      </c>
      <c r="I100" s="2" t="str">
        <f t="shared" si="6"/>
        <v>Low Discount</v>
      </c>
    </row>
    <row r="101" spans="1:9" x14ac:dyDescent="0.35">
      <c r="A101" t="s">
        <v>72</v>
      </c>
      <c r="B101" s="3">
        <v>525</v>
      </c>
      <c r="C101" s="3">
        <v>1029</v>
      </c>
      <c r="D101" s="1">
        <v>0.49</v>
      </c>
      <c r="E101" s="3">
        <f t="shared" ca="1" si="8"/>
        <v>0</v>
      </c>
      <c r="F101" s="2">
        <f t="shared" ca="1" si="8"/>
        <v>0</v>
      </c>
      <c r="G101" s="2">
        <f t="shared" si="4"/>
        <v>504</v>
      </c>
      <c r="H101" s="2" t="str">
        <f t="shared" ca="1" si="5"/>
        <v>Excellent</v>
      </c>
      <c r="I101" s="2" t="str">
        <f t="shared" si="6"/>
        <v>High Discount</v>
      </c>
    </row>
    <row r="102" spans="1:9" x14ac:dyDescent="0.35">
      <c r="A102" t="s">
        <v>73</v>
      </c>
      <c r="B102" s="3">
        <v>1080</v>
      </c>
      <c r="C102" s="3">
        <v>1874</v>
      </c>
      <c r="D102" s="1">
        <v>0.42</v>
      </c>
      <c r="E102" s="3">
        <f t="shared" ca="1" si="8"/>
        <v>0</v>
      </c>
      <c r="F102" s="2">
        <f t="shared" ca="1" si="8"/>
        <v>0</v>
      </c>
      <c r="G102" s="2">
        <f t="shared" si="4"/>
        <v>794</v>
      </c>
      <c r="H102" s="2" t="str">
        <f t="shared" ca="1" si="5"/>
        <v>Excellent</v>
      </c>
      <c r="I102" s="2" t="str">
        <f t="shared" si="6"/>
        <v>High Discount</v>
      </c>
    </row>
    <row r="103" spans="1:9" x14ac:dyDescent="0.35">
      <c r="A103" t="s">
        <v>110</v>
      </c>
      <c r="B103" s="3">
        <v>3640</v>
      </c>
      <c r="C103" s="3">
        <v>4588</v>
      </c>
      <c r="D103" s="1">
        <v>0.21</v>
      </c>
      <c r="E103" s="3">
        <v>1</v>
      </c>
      <c r="F103" s="2">
        <v>5</v>
      </c>
      <c r="G103" s="2">
        <f t="shared" si="4"/>
        <v>948</v>
      </c>
      <c r="H103" s="2" t="str">
        <f t="shared" si="5"/>
        <v>Excellent</v>
      </c>
      <c r="I103" s="2" t="str">
        <f t="shared" si="6"/>
        <v>Medium Discount</v>
      </c>
    </row>
    <row r="104" spans="1:9" x14ac:dyDescent="0.35">
      <c r="A104" t="s">
        <v>74</v>
      </c>
      <c r="B104" s="3">
        <v>1420</v>
      </c>
      <c r="C104" s="3">
        <v>2420</v>
      </c>
      <c r="D104" s="1">
        <v>0.41</v>
      </c>
      <c r="E104" s="3">
        <f t="shared" ref="E104:F111" ca="1" si="9">AVERAGE(E83:E197)</f>
        <v>0</v>
      </c>
      <c r="F104" s="2">
        <f t="shared" ca="1" si="9"/>
        <v>0</v>
      </c>
      <c r="G104" s="2">
        <f t="shared" si="4"/>
        <v>1000</v>
      </c>
      <c r="H104" s="2" t="str">
        <f t="shared" ca="1" si="5"/>
        <v>Excellent</v>
      </c>
      <c r="I104" s="2" t="str">
        <f t="shared" si="6"/>
        <v>High Discount</v>
      </c>
    </row>
    <row r="105" spans="1:9" x14ac:dyDescent="0.35">
      <c r="A105" t="s">
        <v>111</v>
      </c>
      <c r="B105" s="3">
        <v>1875</v>
      </c>
      <c r="C105" s="3">
        <v>1899</v>
      </c>
      <c r="D105" s="1">
        <v>0.01</v>
      </c>
      <c r="E105" s="3">
        <f t="shared" ca="1" si="9"/>
        <v>0</v>
      </c>
      <c r="F105" s="2">
        <f t="shared" ca="1" si="9"/>
        <v>0</v>
      </c>
      <c r="G105" s="2">
        <f t="shared" si="4"/>
        <v>24</v>
      </c>
      <c r="H105" s="2" t="str">
        <f t="shared" ca="1" si="5"/>
        <v>Excellent</v>
      </c>
      <c r="I105" s="2" t="str">
        <f t="shared" si="6"/>
        <v>Low Discount</v>
      </c>
    </row>
    <row r="106" spans="1:9" x14ac:dyDescent="0.35">
      <c r="A106" t="s">
        <v>75</v>
      </c>
      <c r="B106" s="3">
        <v>198</v>
      </c>
      <c r="C106" s="3">
        <v>260</v>
      </c>
      <c r="D106" s="1">
        <v>0.24</v>
      </c>
      <c r="E106" s="3">
        <f t="shared" ca="1" si="9"/>
        <v>0</v>
      </c>
      <c r="F106" s="2">
        <f t="shared" ca="1" si="9"/>
        <v>0</v>
      </c>
      <c r="G106" s="2">
        <f t="shared" si="4"/>
        <v>62</v>
      </c>
      <c r="H106" s="2" t="str">
        <f t="shared" ca="1" si="5"/>
        <v>Excellent</v>
      </c>
      <c r="I106" s="2" t="str">
        <f t="shared" si="6"/>
        <v>Medium Discount</v>
      </c>
    </row>
    <row r="107" spans="1:9" x14ac:dyDescent="0.35">
      <c r="A107" t="s">
        <v>112</v>
      </c>
      <c r="B107" s="3">
        <v>1150</v>
      </c>
      <c r="C107" s="3">
        <v>1737</v>
      </c>
      <c r="D107" s="1">
        <v>0.34</v>
      </c>
      <c r="E107" s="3">
        <f t="shared" ca="1" si="9"/>
        <v>0</v>
      </c>
      <c r="F107" s="2">
        <f t="shared" ca="1" si="9"/>
        <v>0</v>
      </c>
      <c r="G107" s="2">
        <f t="shared" si="4"/>
        <v>587</v>
      </c>
      <c r="H107" s="2" t="str">
        <f t="shared" ca="1" si="5"/>
        <v>Excellent</v>
      </c>
      <c r="I107" s="2" t="str">
        <f t="shared" si="6"/>
        <v>Medium Discount</v>
      </c>
    </row>
    <row r="108" spans="1:9" x14ac:dyDescent="0.35">
      <c r="A108" t="s">
        <v>76</v>
      </c>
      <c r="B108" s="3">
        <v>1190</v>
      </c>
      <c r="C108" s="3">
        <v>1810</v>
      </c>
      <c r="D108" s="1">
        <v>0.34</v>
      </c>
      <c r="E108" s="3">
        <f t="shared" ca="1" si="9"/>
        <v>0</v>
      </c>
      <c r="F108" s="2">
        <f t="shared" ca="1" si="9"/>
        <v>0</v>
      </c>
      <c r="G108" s="2">
        <f t="shared" si="4"/>
        <v>620</v>
      </c>
      <c r="H108" s="2" t="str">
        <f t="shared" ca="1" si="5"/>
        <v>Excellent</v>
      </c>
      <c r="I108" s="2" t="str">
        <f t="shared" si="6"/>
        <v>Medium Discount</v>
      </c>
    </row>
    <row r="109" spans="1:9" x14ac:dyDescent="0.35">
      <c r="A109" t="s">
        <v>77</v>
      </c>
      <c r="B109" s="3">
        <v>1658</v>
      </c>
      <c r="C109" s="3">
        <v>1699</v>
      </c>
      <c r="D109" s="1">
        <v>0.02</v>
      </c>
      <c r="E109" s="3">
        <f t="shared" ca="1" si="9"/>
        <v>0</v>
      </c>
      <c r="F109" s="2">
        <f t="shared" ca="1" si="9"/>
        <v>0</v>
      </c>
      <c r="G109" s="2">
        <f t="shared" si="4"/>
        <v>41</v>
      </c>
      <c r="H109" s="2" t="str">
        <f t="shared" ca="1" si="5"/>
        <v>Excellent</v>
      </c>
      <c r="I109" s="2" t="str">
        <f t="shared" si="6"/>
        <v>Low Discount</v>
      </c>
    </row>
    <row r="110" spans="1:9" x14ac:dyDescent="0.35">
      <c r="A110" t="s">
        <v>78</v>
      </c>
      <c r="B110" s="3">
        <v>1768</v>
      </c>
      <c r="C110" s="3">
        <v>1799</v>
      </c>
      <c r="D110" s="1">
        <v>0.02</v>
      </c>
      <c r="E110" s="3">
        <f t="shared" ca="1" si="9"/>
        <v>0</v>
      </c>
      <c r="F110" s="2">
        <f t="shared" ca="1" si="9"/>
        <v>0</v>
      </c>
      <c r="G110" s="2">
        <f t="shared" si="4"/>
        <v>31</v>
      </c>
      <c r="H110" s="2" t="str">
        <f t="shared" ca="1" si="5"/>
        <v>Excellent</v>
      </c>
      <c r="I110" s="2" t="str">
        <f t="shared" si="6"/>
        <v>Low Discount</v>
      </c>
    </row>
    <row r="111" spans="1:9" x14ac:dyDescent="0.35">
      <c r="A111" t="s">
        <v>79</v>
      </c>
      <c r="B111" s="3">
        <v>199</v>
      </c>
      <c r="C111" s="3">
        <v>553</v>
      </c>
      <c r="D111" s="1">
        <v>0.64</v>
      </c>
      <c r="E111" s="3">
        <f t="shared" ca="1" si="9"/>
        <v>0</v>
      </c>
      <c r="F111" s="2">
        <f t="shared" ca="1" si="9"/>
        <v>0</v>
      </c>
      <c r="G111" s="2">
        <f t="shared" si="4"/>
        <v>354</v>
      </c>
      <c r="H111" s="2" t="str">
        <f t="shared" ca="1" si="5"/>
        <v>Excellent</v>
      </c>
      <c r="I111" s="2" t="str">
        <f t="shared" si="6"/>
        <v>High Discount</v>
      </c>
    </row>
    <row r="112" spans="1:9" x14ac:dyDescent="0.35">
      <c r="A112" t="s">
        <v>113</v>
      </c>
      <c r="B112" s="3">
        <v>450</v>
      </c>
      <c r="C112" s="3">
        <v>900</v>
      </c>
      <c r="D112" s="1">
        <v>0.5</v>
      </c>
      <c r="E112" s="3">
        <v>1</v>
      </c>
      <c r="F112" s="2">
        <v>2</v>
      </c>
      <c r="G112" s="2">
        <f t="shared" si="4"/>
        <v>450</v>
      </c>
      <c r="H112" s="2" t="str">
        <f t="shared" si="5"/>
        <v>Poor</v>
      </c>
      <c r="I112" s="2" t="str">
        <f t="shared" si="6"/>
        <v>High Discount</v>
      </c>
    </row>
    <row r="113" spans="1:9" x14ac:dyDescent="0.35">
      <c r="B113"/>
      <c r="C113"/>
      <c r="D113"/>
      <c r="E113"/>
      <c r="F113"/>
    </row>
    <row r="114" spans="1:9" x14ac:dyDescent="0.35">
      <c r="A114">
        <f>COUNTA(A2:A112)</f>
        <v>111</v>
      </c>
      <c r="B114"/>
      <c r="C114"/>
      <c r="D114"/>
      <c r="E114" s="3">
        <f ca="1">SUM(E2:E112)</f>
        <v>0</v>
      </c>
      <c r="F114"/>
    </row>
    <row r="115" spans="1:9" x14ac:dyDescent="0.35">
      <c r="A115" t="s">
        <v>116</v>
      </c>
      <c r="B115" s="3">
        <f>AVERAGE(B2:B112)</f>
        <v>1196.0630630630631</v>
      </c>
      <c r="C115" s="3">
        <f>AVERAGE(C2:C112)</f>
        <v>1824.5405405405406</v>
      </c>
      <c r="D115" s="3">
        <f>AVERAGE(D2:D112)</f>
        <v>0.36684684684684682</v>
      </c>
      <c r="E115"/>
      <c r="F115" s="2">
        <f ca="1">AVERAGE(F2:F112)</f>
        <v>0</v>
      </c>
    </row>
    <row r="116" spans="1:9" x14ac:dyDescent="0.35">
      <c r="A116" t="s">
        <v>117</v>
      </c>
      <c r="B116" s="3">
        <v>169</v>
      </c>
      <c r="C116" s="3">
        <v>320</v>
      </c>
      <c r="D116" s="1">
        <v>0.47</v>
      </c>
      <c r="E116" s="3">
        <f ca="1">AVERAGE(E95:E209)</f>
        <v>0</v>
      </c>
      <c r="F116" s="2">
        <f ca="1">AVERAGE(F95:F209)</f>
        <v>0</v>
      </c>
    </row>
    <row r="117" spans="1:9" x14ac:dyDescent="0.35">
      <c r="A117" t="s">
        <v>118</v>
      </c>
    </row>
    <row r="118" spans="1:9" x14ac:dyDescent="0.35">
      <c r="A118" t="s">
        <v>119</v>
      </c>
    </row>
    <row r="119" spans="1:9" x14ac:dyDescent="0.35">
      <c r="A119" t="s">
        <v>123</v>
      </c>
      <c r="B119" s="3">
        <f>MAX(B2:B112)</f>
        <v>3750</v>
      </c>
      <c r="C119"/>
      <c r="D119"/>
      <c r="F119" s="3"/>
      <c r="G119" s="3"/>
      <c r="H119" s="3"/>
      <c r="I119" s="3"/>
    </row>
    <row r="120" spans="1:9" x14ac:dyDescent="0.35">
      <c r="A120" t="s">
        <v>124</v>
      </c>
      <c r="B120" s="3">
        <f>MIN(B2:B112)</f>
        <v>38</v>
      </c>
    </row>
  </sheetData>
  <autoFilter ref="A1:F116" xr:uid="{511BBF10-7D14-44E8-8D52-F7A067058655}"/>
  <conditionalFormatting sqref="H2:H112">
    <cfRule type="containsText" dxfId="1" priority="1" operator="containsText" text="Poor">
      <formula>NOT(ISERROR(SEARCH("Poor",H2)))</formula>
    </cfRule>
  </conditionalFormatting>
  <conditionalFormatting sqref="I2:I112">
    <cfRule type="containsText" dxfId="0" priority="2" operator="containsText" text="High Discount">
      <formula>NOT(ISERROR(SEARCH("High Discount",I2)))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avg discount&amp;rating p category</vt:lpstr>
      <vt:lpstr>discount percentage&amp;reviews</vt:lpstr>
      <vt:lpstr>rating&amp;reviews</vt:lpstr>
      <vt:lpstr>top 5 highest rated</vt:lpstr>
      <vt:lpstr>top 5 lowest rated</vt:lpstr>
      <vt:lpstr>10 highest dicounted products</vt:lpstr>
      <vt:lpstr>10 most reviewed products</vt:lpstr>
      <vt:lpstr>performance comparison</vt:lpstr>
      <vt:lpstr>rating category breakdown</vt:lpstr>
      <vt:lpstr>top 10 rated</vt:lpstr>
      <vt:lpstr>discount category breakdown</vt:lpstr>
      <vt:lpstr>Dashboard</vt:lpstr>
      <vt:lpstr>product with high rating&amp;disco </vt:lpstr>
      <vt:lpstr>Excel_jumia_dataset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Fanuel Awidhi</cp:lastModifiedBy>
  <dcterms:created xsi:type="dcterms:W3CDTF">2026-06-05T10:20:37Z</dcterms:created>
  <dcterms:modified xsi:type="dcterms:W3CDTF">2026-06-15T17:42:40Z</dcterms:modified>
</cp:coreProperties>
</file>