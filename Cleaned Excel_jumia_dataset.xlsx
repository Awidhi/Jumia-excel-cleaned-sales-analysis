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3.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4.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9_{E039711E-CE46-4A83-ABA1-4AEB9D63ED07}" xr6:coauthVersionLast="47" xr6:coauthVersionMax="47" xr10:uidLastSave="{00000000-0000-0000-0000-000000000000}"/>
  <bookViews>
    <workbookView xWindow="-110" yWindow="-110" windowWidth="19420" windowHeight="10300" firstSheet="11" activeTab="12" xr2:uid="{E3AF3581-4B12-4BAE-BA28-515DFE696CCF}"/>
  </bookViews>
  <sheets>
    <sheet name="Avg Product Discount&amp;Rating" sheetId="2" r:id="rId1"/>
    <sheet name="Discount%&amp;Reviews" sheetId="3" r:id="rId2"/>
    <sheet name="Rating&amp;Reviews" sheetId="4" r:id="rId3"/>
    <sheet name="Top 5 Highest Product Rating" sheetId="5" r:id="rId4"/>
    <sheet name="Product Discount" sheetId="6" r:id="rId5"/>
    <sheet name="Top 5 Lowest Rated pdcts" sheetId="7" r:id="rId6"/>
    <sheet name="Top 10 Most Reviewed Pdcts" sheetId="8" r:id="rId7"/>
    <sheet name="High vs Low Discount Perf" sheetId="9" r:id="rId8"/>
    <sheet name="Product by Rating Category" sheetId="11" r:id="rId9"/>
    <sheet name="Top 10 Rated Product" sheetId="12" r:id="rId10"/>
    <sheet name="Rating and Price" sheetId="13" r:id="rId11"/>
    <sheet name="Cleaned Excel_jumia_dataset" sheetId="1" r:id="rId12"/>
    <sheet name="Dashboard" sheetId="10" r:id="rId13"/>
  </sheets>
  <definedNames>
    <definedName name="_xlnm._FilterDatabase" localSheetId="11" hidden="1">'Cleaned Excel_jumia_dataset'!$A$1:$I$115</definedName>
    <definedName name="Slicer_Discount_Category">#N/A</definedName>
    <definedName name="Slicer_Product">#N/A</definedName>
    <definedName name="Slicer_Rating">#N/A</definedName>
    <definedName name="Slicer_Rating_Category">#N/A</definedName>
  </definedNames>
  <calcPr calcId="0"/>
  <pivotCaches>
    <pivotCache cacheId="26"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19" i="1" l="1"/>
  <c r="A118" i="1"/>
  <c r="B119" i="1"/>
  <c r="B118" i="1"/>
  <c r="D115" i="1"/>
  <c r="C115" i="1"/>
  <c r="B115"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 r="E115" i="1"/>
  <c r="F115" i="1"/>
  <c r="C40" i="1"/>
  <c r="G40" i="1" s="1"/>
  <c r="B40" i="1"/>
</calcChain>
</file>

<file path=xl/sharedStrings.xml><?xml version="1.0" encoding="utf-8"?>
<sst xmlns="http://schemas.openxmlformats.org/spreadsheetml/2006/main" count="228" uniqueCount="143">
  <si>
    <t>Product</t>
  </si>
  <si>
    <t>Current price</t>
  </si>
  <si>
    <t>old price</t>
  </si>
  <si>
    <t>Discount</t>
  </si>
  <si>
    <t>115  Piece Set Of Multifunctional Precision Screwdrivers</t>
  </si>
  <si>
    <t>Metal Decorative Hooks Key Hangers Entryway Wall Hooks Towel Hooks - Home</t>
  </si>
  <si>
    <t>Portable Mini Cordless Car Vacuum Cleaner - Blue</t>
  </si>
  <si>
    <t>Portable Home Small Air Humidifier 3-Speed Fan - Green</t>
  </si>
  <si>
    <t>137 Pieces Cake Decorating Tool Set Baking Supplies</t>
  </si>
  <si>
    <t>Desk Foldable Fan Adjustable Fan Strong Wind 3 Gear Usb</t>
  </si>
  <si>
    <t>13 In 1 Home Repair Tools Box Kit Set</t>
  </si>
  <si>
    <t>100 Pcs Crochet Hook Tool Set Knitting Hook Set With Box</t>
  </si>
  <si>
    <t>Multifunction Laser Level With Adjustment Tripod</t>
  </si>
  <si>
    <t>Anti-Skid Absorbent Insulation Coaster  For Home Office</t>
  </si>
  <si>
    <t>Peacock  Throw Pillow Cushion Case For Home Car</t>
  </si>
  <si>
    <t>Foldable Overbed Table/Desk</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</si>
  <si>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</si>
  <si>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</si>
  <si>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</si>
  <si>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</si>
  <si>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</si>
  <si>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</si>
  <si>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53Pcs/Set Yarn Knitting Crochet Hooks With Bag - Fortune Cat</t>
  </si>
  <si>
    <t>53 Pieces/Set Yarn Knitting Crochet Hooks With Bag - Pansies</t>
  </si>
  <si>
    <t>Classic Black Cat Cotton Hemp Pillow Case For Home Car</t>
  </si>
  <si>
    <t>4M Float Switch Water Level Controller -Water Tank</t>
  </si>
  <si>
    <t>Shower Cap Wide Elastic Band Cover Reusable Bashroom Cap</t>
  </si>
  <si>
    <t>Christmas Elk Fence Yard Lawn Decorations Cute For Holidays</t>
  </si>
  <si>
    <t>60W Hot Melt Glue Sprayer - Efficient And Stable Glue Dispensing</t>
  </si>
  <si>
    <t>Car Phone Charging Stand</t>
  </si>
  <si>
    <t>Creative Owl Shape Keychain Black</t>
  </si>
  <si>
    <t>Brush &amp; Paintbrush Cleaning Tool Pink</t>
  </si>
  <si>
    <t>Pen Grips For Kids Pen Grip Posture Correction Tool For Kids</t>
  </si>
  <si>
    <t>Pilates Cloth Bag Waterproof Durable High Capacity Purple</t>
  </si>
  <si>
    <t>Cute Christmas Fence Garden Decorations For Holiday Home</t>
  </si>
  <si>
    <t>Simple Metal Dog Art Sculpture Decoration For Home Office</t>
  </si>
  <si>
    <t>Christmas Fence Garden Decorations Outdoor For Holiday Home</t>
  </si>
  <si>
    <t>Angle Measuring Tool Full Metal Multi Angle Measuring Tool</t>
  </si>
  <si>
    <t>120W Cordless Vacuum Cleaners Handheld Electric Vacuum Cleaner</t>
  </si>
  <si>
    <t>Artificial Potted Flowers Room Decorative Flowers (2 Pieces)</t>
  </si>
  <si>
    <t>Agapeon Toothbrush Holder And Toothpaste Dispenser</t>
  </si>
  <si>
    <t>Watercolour Gold Foil Textured Print Pillow Cover</t>
  </si>
  <si>
    <t>Wrought Iron Bathroom Shelf Wall Mounted Free Punch Toilet Rack</t>
  </si>
  <si>
    <t>Cushion Silicone Butt Cushion Summer Ice Cushion Honeycomb Gel Cushion</t>
  </si>
  <si>
    <t>Bedroom Simple Floor Hanging Clothes Rack Single Pole Hat Rack - White</t>
  </si>
  <si>
    <t>Household Pineapple Peeler Peeler</t>
  </si>
  <si>
    <t>Office Chair Lumbar Back Support Spine Posture Correction Pillow Car Cushion</t>
  </si>
  <si>
    <t>Cartoon Car Decoration Cute Individuality For Car Home Desk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</si>
  <si>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</si>
  <si>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</si>
  <si>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</si>
  <si>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</si>
  <si>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</si>
  <si>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</si>
  <si>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</si>
  <si>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</si>
  <si>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</si>
  <si>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</si>
  <si>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</si>
  <si>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Shower Nozzle Cleaning Unclogging Needle Mini Crevice Small Hole Cleaning Brush</t>
  </si>
  <si>
    <t>Thickening Multipurpose Non Stick Easy To Clean Heat Resistant Spoon Pad</t>
  </si>
  <si>
    <t>6 In 1 Bottle Can Opener Multifunctional Easy Opener</t>
  </si>
  <si>
    <t>Black Simple Water Cup Wine Coaster Anti Slip Absorbent</t>
  </si>
  <si>
    <t>Rating</t>
  </si>
  <si>
    <t xml:space="preserve"> 2,200 -  3,200</t>
  </si>
  <si>
    <t>1,620 - 1980</t>
  </si>
  <si>
    <t>220V 60W Electric Soldering Iron Kits With Tools Tips And Multimeter</t>
  </si>
  <si>
    <t>Reviews</t>
  </si>
  <si>
    <t>Weighing Scale Digital Bathroom Body Fat Scale Usb-Black</t>
  </si>
  <si>
    <t>Lasa Folding Table Serving Stand</t>
  </si>
  <si>
    <t>Genebre 115 In 1 Screwdriver Repairing Tool Set For Iphone Cellphone Hand Tool</t>
  </si>
  <si>
    <t>40Cm Gold Diy Acrylic Wall Sticker Clock</t>
  </si>
  <si>
    <t>Lasa Digital Thermometer And Hydrometer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</si>
  <si>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</si>
  <si>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</si>
  <si>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</si>
  <si>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</si>
  <si>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</si>
  <si>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</si>
  <si>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Lasa 3 Tier Bamboo Shoe Bench Storage Shelf</t>
  </si>
  <si>
    <t>Multifunctional Storage Rack Multi-Layer Booelf</t>
  </si>
  <si>
    <t>Led Eye Protection  Desk Lamp  Study Reading Usb Fan - Double Pen Holder</t>
  </si>
  <si>
    <t>Diy File Folder Office Drawer File Holder Pen Holder Desktop Storage Rack</t>
  </si>
  <si>
    <t>Punch-Free Great Load Bearing Bathroom Storage Rack Wall Shelf-White</t>
  </si>
  <si>
    <t>1/2/3 Seater Elastic Sofa Coverliving Room/Home Decor Chair Cover-Grey</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</si>
  <si>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</si>
  <si>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</si>
  <si>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</si>
  <si>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</si>
  <si>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</si>
  <si>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</si>
  <si>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</si>
  <si>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</si>
  <si>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</si>
  <si>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Intelligent  Led Body Sensor Wireless Lighting Night Light Usb</t>
  </si>
  <si>
    <t>Vic Wireless Vacuum Cleaner Dual Use For Home And Car 120W High Power Powerful</t>
  </si>
  <si>
    <t>380Ml Usb Rechargeable Portable Small Blenders And Juicers</t>
  </si>
  <si>
    <t>32Pcs Portable Cordless Drill Set With Cyclic Battery Drive -26 Variable Speed</t>
  </si>
  <si>
    <t>Large Lazy Inflatable Sofa Chairs Pvc Lounger Seat Bag</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</si>
  <si>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</si>
  <si>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</si>
  <si>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</si>
  <si>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</si>
  <si>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7Pcs Silicone Thumb Knife Finger Protector Vegetable Harvesting Knife</t>
  </si>
  <si>
    <t>Memory Foam Neck Pillow Cover, With Pillow Core - 50*30Cm</t>
  </si>
  <si>
    <t>5M Waterproof Spherical Led String Lights Outdoor Ball Chain Lights Party Lighting Decoration Adjustable</t>
  </si>
  <si>
    <t>2 Pairs Cowhide Split Leather Work Gloves.32Â„‰ Or Above Welding Gloves</t>
  </si>
  <si>
    <t>Outdoor Portable Water Bottle With Medicine Box - 600Ml - Black</t>
  </si>
  <si>
    <t>2Pcs Ice Silk Square Cushion Cover Pillowcases - 65X65Cm</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</si>
  <si>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</si>
  <si>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</si>
  <si>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</si>
  <si>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</si>
  <si>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</si>
  <si>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</si>
  <si>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</si>
  <si>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Wall-Mounted Sticker Punch-Free Plug Fixer</t>
  </si>
  <si>
    <t>Absolute Discount</t>
  </si>
  <si>
    <t>Rating Category</t>
  </si>
  <si>
    <t>Discount Category</t>
  </si>
  <si>
    <t>Average</t>
  </si>
  <si>
    <t>Row Labels</t>
  </si>
  <si>
    <t>Grand Total</t>
  </si>
  <si>
    <t>Average of Discount</t>
  </si>
  <si>
    <t>Average of Rating</t>
  </si>
  <si>
    <t>High Discount</t>
  </si>
  <si>
    <t>Count of Reviews</t>
  </si>
  <si>
    <t>Excellent</t>
  </si>
  <si>
    <t>0.41-0.61</t>
  </si>
  <si>
    <t>Average of Reviews</t>
  </si>
  <si>
    <t>Higher discount does not necessarily lead to more review according to our column chart products with discount percentage of greater than 40 are considered  high discount  with average reviews of 11.9 and 12.7 compared to medium discount products which has the highest average reviews.</t>
  </si>
  <si>
    <t>Conclusion</t>
  </si>
  <si>
    <t>Count of Product</t>
  </si>
  <si>
    <t xml:space="preserve">The products highlighted with green represent the top five highest rated product while the cells highlighted with dark red represent the  top five lowest rated product </t>
  </si>
  <si>
    <r>
      <rPr>
        <b/>
        <sz val="11"/>
        <color theme="1"/>
        <rFont val="Aptos Narrow"/>
        <family val="2"/>
        <scheme val="minor"/>
      </rPr>
      <t>Top 10 Product with High Discoun</t>
    </r>
    <r>
      <rPr>
        <sz val="11"/>
        <color theme="1"/>
        <rFont val="Aptos Narrow"/>
        <family val="2"/>
        <scheme val="minor"/>
      </rPr>
      <t>t</t>
    </r>
  </si>
  <si>
    <t>Top 5 Highest Rated Products</t>
  </si>
  <si>
    <t>Column Labels</t>
  </si>
  <si>
    <t>Insights</t>
  </si>
  <si>
    <t>Higher discount leads to more sale since it has the highest average of 12.7 compared to low and medium discount products suggesting customers like it when a price of a product is reduced</t>
  </si>
  <si>
    <t>Average of Current price</t>
  </si>
  <si>
    <t>Products with Excellent in the rating category is considered highest rated products and they have higher prices which suggest they might not be affordable</t>
  </si>
  <si>
    <t>Lasa Table Folding Serving Stand had the highest discount of 55%</t>
  </si>
  <si>
    <t>Peackock Throw Pillow Cusion Case for Car was the most rated with 5.0 rating suggestin that the quality might be very high hence highly 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</si>
</sst>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9" fontId="0" fillId="0" borderId="0" xfId="0" applyNumberFormat="1"/>
    <xf numFmtId="0" fontId="16" fillId="0" borderId="0" xfId="0" applyFont="1"/>
    <xf numFmtId="0" fontId="0" fillId="0" borderId="0" xfId="0" applyNumberFormat="1"/>
    <xf numFmtId="9" fontId="16" fillId="0" borderId="0" xfId="0" applyNumberFormat="1" applyFont="1"/>
    <xf numFmtId="169" fontId="16" fillId="0" borderId="0" xfId="0" applyNumberFormat="1" applyFont="1"/>
    <xf numFmtId="169" fontId="0" fillId="0" borderId="0" xfId="0" applyNumberFormat="1"/>
    <xf numFmtId="1" fontId="16" fillId="0" borderId="0" xfId="0" applyNumberFormat="1" applyFont="1"/>
    <xf numFmtId="1" fontId="0" fillId="0" borderId="0" xfId="0" applyNumberFormat="1"/>
    <xf numFmtId="49" fontId="16" fillId="0" borderId="0" xfId="0" applyNumberFormat="1" applyFont="1"/>
    <xf numFmtId="49"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33" borderId="0" xfId="0"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Excel_jumia_dataset.xlsx]Discount%&amp;Reviews!PivotTable2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'Discount%&amp;Reviews'!$B$3</c:f>
              <c:strCache>
                <c:ptCount val="1"/>
                <c:pt idx="0">
                  <c:v>Total</c:v>
                </c:pt>
              </c:strCache>
            </c:strRef>
          </c:tx>
          <c:spPr>
            <a:solidFill>
              <a:schemeClr val="accent2"/>
            </a:solidFill>
            <a:ln>
              <a:noFill/>
            </a:ln>
            <a:effectLst/>
          </c:spPr>
          <c:invertIfNegative val="0"/>
          <c:cat>
            <c:strRef>
              <c:f>'Discount%&amp;Reviews'!$A$4:$A$5</c:f>
              <c:strCache>
                <c:ptCount val="1"/>
                <c:pt idx="0">
                  <c:v>0.41-0.61</c:v>
                </c:pt>
              </c:strCache>
            </c:strRef>
          </c:cat>
          <c:val>
            <c:numRef>
              <c:f>'Discount%&amp;Reviews'!$B$4:$B$5</c:f>
              <c:numCache>
                <c:formatCode>0.0</c:formatCode>
                <c:ptCount val="1"/>
                <c:pt idx="0">
                  <c:v>10.857142857142858</c:v>
                </c:pt>
              </c:numCache>
            </c:numRef>
          </c:val>
          <c:extLst>
            <c:ext xmlns:c16="http://schemas.microsoft.com/office/drawing/2014/chart" uri="{C3380CC4-5D6E-409C-BE32-E72D297353CC}">
              <c16:uniqueId val="{00000000-3A1F-48F3-8F38-B1CFF73FE812}"/>
            </c:ext>
          </c:extLst>
        </c:ser>
        <c:dLbls>
          <c:showLegendKey val="0"/>
          <c:showVal val="0"/>
          <c:showCatName val="0"/>
          <c:showSerName val="0"/>
          <c:showPercent val="0"/>
          <c:showBubbleSize val="0"/>
        </c:dLbls>
        <c:gapWidth val="219"/>
        <c:overlap val="-27"/>
        <c:axId val="769737839"/>
        <c:axId val="769746959"/>
      </c:barChart>
      <c:catAx>
        <c:axId val="7697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46959"/>
        <c:crosses val="autoZero"/>
        <c:auto val="1"/>
        <c:lblAlgn val="ctr"/>
        <c:lblOffset val="100"/>
        <c:noMultiLvlLbl val="0"/>
      </c:catAx>
      <c:valAx>
        <c:axId val="769746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3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Excel_jumia_dataset.xlsx]Rating&amp;Reviews!PivotTable3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'Rating&amp;Reviews'!$B$3</c:f>
              <c:strCache>
                <c:ptCount val="1"/>
                <c:pt idx="0">
                  <c:v>Average of Rating</c:v>
                </c:pt>
              </c:strCache>
            </c:strRef>
          </c:tx>
          <c:spPr>
            <a:solidFill>
              <a:schemeClr val="accent2">
                <a:tint val="77000"/>
              </a:schemeClr>
            </a:solidFill>
            <a:ln>
              <a:noFill/>
            </a:ln>
            <a:effectLst/>
          </c:spPr>
          <c:invertIfNegative val="0"/>
          <c:cat>
            <c:strRef>
              <c:f>'Rating&amp;Reviews'!$A$4:$A$5</c:f>
              <c:strCache>
                <c:ptCount val="1"/>
                <c:pt idx="0">
                  <c:v>Excellent</c:v>
                </c:pt>
              </c:strCache>
            </c:strRef>
          </c:cat>
          <c:val>
            <c:numRef>
              <c:f>'Rating&amp;Reviews'!$B$4:$B$5</c:f>
              <c:numCache>
                <c:formatCode>0.0</c:formatCode>
                <c:ptCount val="1"/>
                <c:pt idx="0">
                  <c:v>4.6428571428571432</c:v>
                </c:pt>
              </c:numCache>
            </c:numRef>
          </c:val>
          <c:extLst>
            <c:ext xmlns:c16="http://schemas.microsoft.com/office/drawing/2014/chart" uri="{C3380CC4-5D6E-409C-BE32-E72D297353CC}">
              <c16:uniqueId val="{00000000-2FBC-4B21-9FAA-B2EE146B8C48}"/>
            </c:ext>
          </c:extLst>
        </c:ser>
        <c:ser>
          <c:idx val="1"/>
          <c:order val="1"/>
          <c:tx>
            <c:strRef>
              <c:f>'Rating&amp;Reviews'!$C$3</c:f>
              <c:strCache>
                <c:ptCount val="1"/>
                <c:pt idx="0">
                  <c:v>Average of Reviews</c:v>
                </c:pt>
              </c:strCache>
            </c:strRef>
          </c:tx>
          <c:spPr>
            <a:solidFill>
              <a:schemeClr val="accent2">
                <a:shade val="76000"/>
              </a:schemeClr>
            </a:solidFill>
            <a:ln>
              <a:noFill/>
            </a:ln>
            <a:effectLst/>
          </c:spPr>
          <c:invertIfNegative val="0"/>
          <c:cat>
            <c:strRef>
              <c:f>'Rating&amp;Reviews'!$A$4:$A$5</c:f>
              <c:strCache>
                <c:ptCount val="1"/>
                <c:pt idx="0">
                  <c:v>Excellent</c:v>
                </c:pt>
              </c:strCache>
            </c:strRef>
          </c:cat>
          <c:val>
            <c:numRef>
              <c:f>'Rating&amp;Reviews'!$C$4:$C$5</c:f>
              <c:numCache>
                <c:formatCode>0.0</c:formatCode>
                <c:ptCount val="1"/>
                <c:pt idx="0">
                  <c:v>10.857142857142858</c:v>
                </c:pt>
              </c:numCache>
            </c:numRef>
          </c:val>
          <c:extLst>
            <c:ext xmlns:c16="http://schemas.microsoft.com/office/drawing/2014/chart" uri="{C3380CC4-5D6E-409C-BE32-E72D297353CC}">
              <c16:uniqueId val="{00000001-2FBC-4B21-9FAA-B2EE146B8C48}"/>
            </c:ext>
          </c:extLst>
        </c:ser>
        <c:dLbls>
          <c:showLegendKey val="0"/>
          <c:showVal val="0"/>
          <c:showCatName val="0"/>
          <c:showSerName val="0"/>
          <c:showPercent val="0"/>
          <c:showBubbleSize val="0"/>
        </c:dLbls>
        <c:gapWidth val="219"/>
        <c:overlap val="-27"/>
        <c:axId val="894710783"/>
        <c:axId val="894711263"/>
      </c:barChart>
      <c:catAx>
        <c:axId val="89471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11263"/>
        <c:crosses val="autoZero"/>
        <c:auto val="1"/>
        <c:lblAlgn val="ctr"/>
        <c:lblOffset val="100"/>
        <c:noMultiLvlLbl val="0"/>
      </c:catAx>
      <c:valAx>
        <c:axId val="8947112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Excel_jumia_dataset.xlsx]Product Discount!PivotTable5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Discount'!$B$3</c:f>
              <c:strCache>
                <c:ptCount val="1"/>
                <c:pt idx="0">
                  <c:v>Total</c:v>
                </c:pt>
              </c:strCache>
            </c:strRef>
          </c:tx>
          <c:spPr>
            <a:solidFill>
              <a:schemeClr val="accent2"/>
            </a:solidFill>
            <a:ln>
              <a:noFill/>
            </a:ln>
            <a:effectLst/>
          </c:spPr>
          <c:invertIfNegative val="0"/>
          <c:cat>
            <c:strRef>
              <c:f>'Product Discount'!$A$4:$A$15</c:f>
              <c:strCache>
                <c:ptCount val="11"/>
                <c:pt idx="0">
                  <c:v>Lasa Folding Table Serving Stand</c:v>
                </c:pt>
                <c:pt idx="1">
                  <c:v>Lasa 3 Tier Bamboo Shoe Bench Storage Shelf</c:v>
                </c:pt>
                <c:pt idx="2">
                  <c:v>Classic Black Cat Cotton Hemp Pillow Case For Home Car</c:v>
                </c:pt>
                <c:pt idx="3">
                  <c:v>Exfoliate And Exfoliate Face Towel - Black</c:v>
                </c:pt>
                <c:pt idx="4">
                  <c:v>Anti-Skid Absorbent Insulation Coaster  For Home Office</c:v>
                </c:pt>
                <c:pt idx="5">
                  <c:v>Bedroom Simple Floor Hanging Clothes Rack Single Pole Hat Rack - White</c:v>
                </c:pt>
                <c:pt idx="6">
                  <c:v>3D Waterproof Eva Plastic Shower Curtain 1.8*2Mtrs</c:v>
                </c:pt>
                <c:pt idx="7">
                  <c:v>Lasa Aluminum Folding Truck Hand Cart - 68Kg Max</c:v>
                </c:pt>
                <c:pt idx="8">
                  <c:v>Led Eye Protection  Desk Lamp  Study Reading Usb Fan - Double Pen Holder</c:v>
                </c:pt>
                <c:pt idx="9">
                  <c:v>Metal Decorative Hooks Key Hangers Entryway Wall Hooks Towel Hooks - Home</c:v>
                </c:pt>
                <c:pt idx="10">
                  <c:v>40Cm Gold Diy Acrylic Wall Sticker Clock</c:v>
                </c:pt>
              </c:strCache>
            </c:strRef>
          </c:cat>
          <c:val>
            <c:numRef>
              <c:f>'Product Discount'!$B$4:$B$15</c:f>
              <c:numCache>
                <c:formatCode>0%</c:formatCode>
                <c:ptCount val="11"/>
                <c:pt idx="0">
                  <c:v>0.55000000000000004</c:v>
                </c:pt>
                <c:pt idx="1">
                  <c:v>0.54</c:v>
                </c:pt>
                <c:pt idx="2">
                  <c:v>0.53</c:v>
                </c:pt>
                <c:pt idx="3">
                  <c:v>0.52</c:v>
                </c:pt>
                <c:pt idx="4">
                  <c:v>0.51</c:v>
                </c:pt>
                <c:pt idx="5">
                  <c:v>0.49</c:v>
                </c:pt>
                <c:pt idx="6">
                  <c:v>0.49</c:v>
                </c:pt>
                <c:pt idx="7">
                  <c:v>0.49</c:v>
                </c:pt>
                <c:pt idx="8">
                  <c:v>0.48</c:v>
                </c:pt>
                <c:pt idx="9">
                  <c:v>0.47</c:v>
                </c:pt>
                <c:pt idx="10">
                  <c:v>0.47</c:v>
                </c:pt>
              </c:numCache>
            </c:numRef>
          </c:val>
          <c:extLst>
            <c:ext xmlns:c16="http://schemas.microsoft.com/office/drawing/2014/chart" uri="{C3380CC4-5D6E-409C-BE32-E72D297353CC}">
              <c16:uniqueId val="{00000000-699B-4C00-86C6-E25CDD78D3DA}"/>
            </c:ext>
          </c:extLst>
        </c:ser>
        <c:dLbls>
          <c:showLegendKey val="0"/>
          <c:showVal val="0"/>
          <c:showCatName val="0"/>
          <c:showSerName val="0"/>
          <c:showPercent val="0"/>
          <c:showBubbleSize val="0"/>
        </c:dLbls>
        <c:gapWidth val="219"/>
        <c:overlap val="-27"/>
        <c:axId val="970419263"/>
        <c:axId val="970414943"/>
      </c:barChart>
      <c:catAx>
        <c:axId val="9704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4943"/>
        <c:crosses val="autoZero"/>
        <c:auto val="1"/>
        <c:lblAlgn val="ctr"/>
        <c:lblOffset val="100"/>
        <c:noMultiLvlLbl val="0"/>
      </c:catAx>
      <c:valAx>
        <c:axId val="970414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Excel_jumia_dataset.xlsx]Top 10 Most Reviewed Pdcts!PivotTable7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Reviewed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Most Reviewed Pdcts'!$B$3</c:f>
              <c:strCache>
                <c:ptCount val="1"/>
                <c:pt idx="0">
                  <c:v>Total</c:v>
                </c:pt>
              </c:strCache>
            </c:strRef>
          </c:tx>
          <c:spPr>
            <a:solidFill>
              <a:schemeClr val="accent2"/>
            </a:solidFill>
            <a:ln>
              <a:noFill/>
            </a:ln>
            <a:effectLst/>
          </c:spPr>
          <c:invertIfNegative val="0"/>
          <c:cat>
            <c:strRef>
              <c:f>'Top 10 Most Reviewed Pdcts'!$A$4:$A$14</c:f>
              <c:strCache>
                <c:ptCount val="10"/>
                <c:pt idx="0">
                  <c:v>3D Waterproof Eva Plastic Shower Curtain 1.8*2Mtrs</c:v>
                </c:pt>
                <c:pt idx="1">
                  <c:v>Punch-Free Great Load Bearing Bathroom Storage Rack Wall Shelf-White</c:v>
                </c:pt>
                <c:pt idx="2">
                  <c:v>Metal Decorative Hooks Key Hangers Entryway Wall Hooks Towel Hooks - Home</c:v>
                </c:pt>
                <c:pt idx="3">
                  <c:v>40Cm Gold Diy Acrylic Wall Sticker Clock</c:v>
                </c:pt>
                <c:pt idx="4">
                  <c:v>Led Eye Protection  Desk Lamp  Study Reading Usb Fan - Double Pen Holder</c:v>
                </c:pt>
                <c:pt idx="5">
                  <c:v>Exfoliate And Exfoliate Face Towel - Black</c:v>
                </c:pt>
                <c:pt idx="6">
                  <c:v>Lasa 3 Tier Bamboo Shoe Bench Storage Shelf</c:v>
                </c:pt>
                <c:pt idx="7">
                  <c:v>Lasa Digital Thermometer And Hydrometer</c:v>
                </c:pt>
                <c:pt idx="8">
                  <c:v>Lasa Folding Table Serving Stand</c:v>
                </c:pt>
                <c:pt idx="9">
                  <c:v>Lasa Aluminum Folding Truck Hand Cart - 68Kg Max</c:v>
                </c:pt>
              </c:strCache>
            </c:strRef>
          </c:cat>
          <c:val>
            <c:numRef>
              <c:f>'Top 10 Most Reviewed Pdcts'!$B$4:$B$14</c:f>
              <c:numCache>
                <c:formatCode>0.0</c:formatCode>
                <c:ptCount val="10"/>
                <c:pt idx="0">
                  <c:v>44</c:v>
                </c:pt>
                <c:pt idx="1">
                  <c:v>36</c:v>
                </c:pt>
                <c:pt idx="2">
                  <c:v>14</c:v>
                </c:pt>
                <c:pt idx="3">
                  <c:v>12</c:v>
                </c:pt>
                <c:pt idx="4">
                  <c:v>9</c:v>
                </c:pt>
                <c:pt idx="5">
                  <c:v>9</c:v>
                </c:pt>
                <c:pt idx="6">
                  <c:v>7</c:v>
                </c:pt>
                <c:pt idx="7">
                  <c:v>6</c:v>
                </c:pt>
                <c:pt idx="8">
                  <c:v>5</c:v>
                </c:pt>
                <c:pt idx="9">
                  <c:v>3</c:v>
                </c:pt>
              </c:numCache>
            </c:numRef>
          </c:val>
          <c:extLst>
            <c:ext xmlns:c16="http://schemas.microsoft.com/office/drawing/2014/chart" uri="{C3380CC4-5D6E-409C-BE32-E72D297353CC}">
              <c16:uniqueId val="{00000000-B934-444F-BD1C-0D1952299AE2}"/>
            </c:ext>
          </c:extLst>
        </c:ser>
        <c:dLbls>
          <c:showLegendKey val="0"/>
          <c:showVal val="0"/>
          <c:showCatName val="0"/>
          <c:showSerName val="0"/>
          <c:showPercent val="0"/>
          <c:showBubbleSize val="0"/>
        </c:dLbls>
        <c:gapWidth val="219"/>
        <c:overlap val="-27"/>
        <c:axId val="970417823"/>
        <c:axId val="970418303"/>
      </c:barChart>
      <c:catAx>
        <c:axId val="97041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8303"/>
        <c:crosses val="autoZero"/>
        <c:auto val="1"/>
        <c:lblAlgn val="ctr"/>
        <c:lblOffset val="100"/>
        <c:noMultiLvlLbl val="0"/>
      </c:catAx>
      <c:valAx>
        <c:axId val="970418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Excel_jumia_dataset.xlsx]High vs Low Discount Perf!PivotTable8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vs Low Discount Product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Perf'!$B$3</c:f>
              <c:strCache>
                <c:ptCount val="1"/>
                <c:pt idx="0">
                  <c:v>Count of Reviews</c:v>
                </c:pt>
              </c:strCache>
            </c:strRef>
          </c:tx>
          <c:spPr>
            <a:solidFill>
              <a:schemeClr val="accent2">
                <a:tint val="77000"/>
              </a:schemeClr>
            </a:solidFill>
            <a:ln>
              <a:noFill/>
            </a:ln>
            <a:effectLst/>
          </c:spPr>
          <c:invertIfNegative val="0"/>
          <c:cat>
            <c:strRef>
              <c:f>'High vs Low Discount Perf'!$A$4:$A$5</c:f>
              <c:strCache>
                <c:ptCount val="1"/>
                <c:pt idx="0">
                  <c:v>High Discount</c:v>
                </c:pt>
              </c:strCache>
            </c:strRef>
          </c:cat>
          <c:val>
            <c:numRef>
              <c:f>'High vs Low Discount Perf'!$B$4:$B$5</c:f>
              <c:numCache>
                <c:formatCode>General</c:formatCode>
                <c:ptCount val="1"/>
                <c:pt idx="0">
                  <c:v>14</c:v>
                </c:pt>
              </c:numCache>
            </c:numRef>
          </c:val>
          <c:extLst>
            <c:ext xmlns:c16="http://schemas.microsoft.com/office/drawing/2014/chart" uri="{C3380CC4-5D6E-409C-BE32-E72D297353CC}">
              <c16:uniqueId val="{00000000-2262-4D50-B6F9-854198130D04}"/>
            </c:ext>
          </c:extLst>
        </c:ser>
        <c:ser>
          <c:idx val="1"/>
          <c:order val="1"/>
          <c:tx>
            <c:strRef>
              <c:f>'High vs Low Discount Perf'!$C$3</c:f>
              <c:strCache>
                <c:ptCount val="1"/>
                <c:pt idx="0">
                  <c:v>Average of Rating</c:v>
                </c:pt>
              </c:strCache>
            </c:strRef>
          </c:tx>
          <c:spPr>
            <a:solidFill>
              <a:schemeClr val="accent2">
                <a:shade val="76000"/>
              </a:schemeClr>
            </a:solidFill>
            <a:ln>
              <a:noFill/>
            </a:ln>
            <a:effectLst/>
          </c:spPr>
          <c:invertIfNegative val="0"/>
          <c:cat>
            <c:strRef>
              <c:f>'High vs Low Discount Perf'!$A$4:$A$5</c:f>
              <c:strCache>
                <c:ptCount val="1"/>
                <c:pt idx="0">
                  <c:v>High Discount</c:v>
                </c:pt>
              </c:strCache>
            </c:strRef>
          </c:cat>
          <c:val>
            <c:numRef>
              <c:f>'High vs Low Discount Perf'!$C$4:$C$5</c:f>
              <c:numCache>
                <c:formatCode>0.0</c:formatCode>
                <c:ptCount val="1"/>
                <c:pt idx="0">
                  <c:v>4.6428571428571432</c:v>
                </c:pt>
              </c:numCache>
            </c:numRef>
          </c:val>
          <c:extLst>
            <c:ext xmlns:c16="http://schemas.microsoft.com/office/drawing/2014/chart" uri="{C3380CC4-5D6E-409C-BE32-E72D297353CC}">
              <c16:uniqueId val="{00000001-2262-4D50-B6F9-854198130D04}"/>
            </c:ext>
          </c:extLst>
        </c:ser>
        <c:dLbls>
          <c:showLegendKey val="0"/>
          <c:showVal val="0"/>
          <c:showCatName val="0"/>
          <c:showSerName val="0"/>
          <c:showPercent val="0"/>
          <c:showBubbleSize val="0"/>
        </c:dLbls>
        <c:gapWidth val="219"/>
        <c:overlap val="-27"/>
        <c:axId val="769747439"/>
        <c:axId val="769747919"/>
      </c:barChart>
      <c:catAx>
        <c:axId val="76974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47919"/>
        <c:crosses val="autoZero"/>
        <c:auto val="1"/>
        <c:lblAlgn val="ctr"/>
        <c:lblOffset val="100"/>
        <c:noMultiLvlLbl val="0"/>
      </c:catAx>
      <c:valAx>
        <c:axId val="76974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4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Excel_jumia_dataset.xlsx]Product by Rating Category!PivotTable9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and Discount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Rating Category'!$B$3:$B$4</c:f>
              <c:strCache>
                <c:ptCount val="1"/>
                <c:pt idx="0">
                  <c:v>High Discount</c:v>
                </c:pt>
              </c:strCache>
            </c:strRef>
          </c:tx>
          <c:spPr>
            <a:solidFill>
              <a:schemeClr val="accent2"/>
            </a:solidFill>
            <a:ln>
              <a:noFill/>
            </a:ln>
            <a:effectLst/>
          </c:spPr>
          <c:invertIfNegative val="0"/>
          <c:cat>
            <c:strRef>
              <c:f>'Product by Rating Category'!$A$5:$A$6</c:f>
              <c:strCache>
                <c:ptCount val="1"/>
                <c:pt idx="0">
                  <c:v>Excellent</c:v>
                </c:pt>
              </c:strCache>
            </c:strRef>
          </c:cat>
          <c:val>
            <c:numRef>
              <c:f>'Product by Rating Category'!$B$5:$B$6</c:f>
              <c:numCache>
                <c:formatCode>General</c:formatCode>
                <c:ptCount val="1"/>
                <c:pt idx="0">
                  <c:v>14</c:v>
                </c:pt>
              </c:numCache>
            </c:numRef>
          </c:val>
          <c:extLst>
            <c:ext xmlns:c16="http://schemas.microsoft.com/office/drawing/2014/chart" uri="{C3380CC4-5D6E-409C-BE32-E72D297353CC}">
              <c16:uniqueId val="{00000000-23D4-425D-8EDB-FA045D5EE527}"/>
            </c:ext>
          </c:extLst>
        </c:ser>
        <c:dLbls>
          <c:showLegendKey val="0"/>
          <c:showVal val="0"/>
          <c:showCatName val="0"/>
          <c:showSerName val="0"/>
          <c:showPercent val="0"/>
          <c:showBubbleSize val="0"/>
        </c:dLbls>
        <c:gapWidth val="219"/>
        <c:overlap val="-27"/>
        <c:axId val="805284207"/>
        <c:axId val="805281327"/>
      </c:barChart>
      <c:catAx>
        <c:axId val="8052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81327"/>
        <c:crosses val="autoZero"/>
        <c:auto val="1"/>
        <c:lblAlgn val="ctr"/>
        <c:lblOffset val="100"/>
        <c:noMultiLvlLbl val="0"/>
      </c:catAx>
      <c:valAx>
        <c:axId val="80528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8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Excel_jumia_dataset.xlsx]Top 10 Rated Product!PivotTable10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Rated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Rated Product'!$B$3</c:f>
              <c:strCache>
                <c:ptCount val="1"/>
                <c:pt idx="0">
                  <c:v>Total</c:v>
                </c:pt>
              </c:strCache>
            </c:strRef>
          </c:tx>
          <c:spPr>
            <a:ln w="28575" cap="rnd">
              <a:solidFill>
                <a:schemeClr val="accent2"/>
              </a:solidFill>
              <a:round/>
            </a:ln>
            <a:effectLst/>
          </c:spPr>
          <c:marker>
            <c:symbol val="none"/>
          </c:marker>
          <c:cat>
            <c:strRef>
              <c:f>'Top 10 Rated Product'!$A$4:$A$17</c:f>
              <c:strCache>
                <c:ptCount val="13"/>
                <c:pt idx="0">
                  <c:v>Peacock  Throw Pillow Cushion Case For Home Car</c:v>
                </c:pt>
                <c:pt idx="1">
                  <c:v>Bedroom Simple Floor Hanging Clothes Rack Single Pole Hat Rack - White</c:v>
                </c:pt>
                <c:pt idx="2">
                  <c:v>Lasa Aluminum Folding Truck Hand Cart - 68Kg Max</c:v>
                </c:pt>
                <c:pt idx="3">
                  <c:v>Anti-Skid Absorbent Insulation Coaster  For Home Office</c:v>
                </c:pt>
                <c:pt idx="4">
                  <c:v>Classic Black Cat Cotton Hemp Pillow Case For Home Car</c:v>
                </c:pt>
                <c:pt idx="5">
                  <c:v>Lasa Folding Table Serving Stand</c:v>
                </c:pt>
                <c:pt idx="6">
                  <c:v>40Cm Gold Diy Acrylic Wall Sticker Clock</c:v>
                </c:pt>
                <c:pt idx="7">
                  <c:v>3D Waterproof Eva Plastic Shower Curtain 1.8*2Mtrs</c:v>
                </c:pt>
                <c:pt idx="8">
                  <c:v>Lasa Digital Thermometer And Hydrometer</c:v>
                </c:pt>
                <c:pt idx="9">
                  <c:v>Led Eye Protection  Desk Lamp  Study Reading Usb Fan - Double Pen Holder</c:v>
                </c:pt>
                <c:pt idx="10">
                  <c:v>Punch-Free Great Load Bearing Bathroom Storage Rack Wall Shelf-White</c:v>
                </c:pt>
                <c:pt idx="11">
                  <c:v>Exfoliate And Exfoliate Face Towel - Black</c:v>
                </c:pt>
                <c:pt idx="12">
                  <c:v>Lasa 3 Tier Bamboo Shoe Bench Storage Shelf</c:v>
                </c:pt>
              </c:strCache>
            </c:strRef>
          </c:cat>
          <c:val>
            <c:numRef>
              <c:f>'Top 10 Rated Product'!$B$4:$B$17</c:f>
              <c:numCache>
                <c:formatCode>0.0</c:formatCode>
                <c:ptCount val="13"/>
                <c:pt idx="0">
                  <c:v>5</c:v>
                </c:pt>
                <c:pt idx="1">
                  <c:v>5</c:v>
                </c:pt>
                <c:pt idx="2">
                  <c:v>5</c:v>
                </c:pt>
                <c:pt idx="3">
                  <c:v>5</c:v>
                </c:pt>
                <c:pt idx="4">
                  <c:v>5</c:v>
                </c:pt>
                <c:pt idx="5">
                  <c:v>4.8</c:v>
                </c:pt>
                <c:pt idx="6">
                  <c:v>4.8</c:v>
                </c:pt>
                <c:pt idx="7">
                  <c:v>4.5999999999999996</c:v>
                </c:pt>
                <c:pt idx="8">
                  <c:v>4.5</c:v>
                </c:pt>
                <c:pt idx="9">
                  <c:v>4.3</c:v>
                </c:pt>
                <c:pt idx="10">
                  <c:v>4.3</c:v>
                </c:pt>
                <c:pt idx="11">
                  <c:v>4.3</c:v>
                </c:pt>
                <c:pt idx="12">
                  <c:v>4.3</c:v>
                </c:pt>
              </c:numCache>
            </c:numRef>
          </c:val>
          <c:smooth val="0"/>
          <c:extLst>
            <c:ext xmlns:c16="http://schemas.microsoft.com/office/drawing/2014/chart" uri="{C3380CC4-5D6E-409C-BE32-E72D297353CC}">
              <c16:uniqueId val="{00000000-6399-4F8A-9EB8-B79F382463A3}"/>
            </c:ext>
          </c:extLst>
        </c:ser>
        <c:dLbls>
          <c:showLegendKey val="0"/>
          <c:showVal val="0"/>
          <c:showCatName val="0"/>
          <c:showSerName val="0"/>
          <c:showPercent val="0"/>
          <c:showBubbleSize val="0"/>
        </c:dLbls>
        <c:smooth val="0"/>
        <c:axId val="1200435647"/>
        <c:axId val="1200436127"/>
      </c:lineChart>
      <c:catAx>
        <c:axId val="120043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36127"/>
        <c:crosses val="autoZero"/>
        <c:auto val="1"/>
        <c:lblAlgn val="ctr"/>
        <c:lblOffset val="100"/>
        <c:noMultiLvlLbl val="0"/>
      </c:catAx>
      <c:valAx>
        <c:axId val="1200436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3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 Excel_jumia_dataset.xlsx]Rating and Price!PivotTable11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Rating Category vs Price</a:t>
            </a:r>
            <a:endParaRPr lang="en-US"/>
          </a:p>
        </c:rich>
      </c:tx>
      <c:layout>
        <c:manualLayout>
          <c:xMode val="edge"/>
          <c:yMode val="edge"/>
          <c:x val="0.2560774778316968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and Price'!$B$3</c:f>
              <c:strCache>
                <c:ptCount val="1"/>
                <c:pt idx="0">
                  <c:v>Total</c:v>
                </c:pt>
              </c:strCache>
            </c:strRef>
          </c:tx>
          <c:spPr>
            <a:solidFill>
              <a:schemeClr val="accent2"/>
            </a:solidFill>
            <a:ln>
              <a:noFill/>
            </a:ln>
            <a:effectLst/>
          </c:spPr>
          <c:invertIfNegative val="0"/>
          <c:cat>
            <c:strRef>
              <c:f>'Rating and Price'!$A$4:$A$5</c:f>
              <c:strCache>
                <c:ptCount val="1"/>
                <c:pt idx="0">
                  <c:v>Excellent</c:v>
                </c:pt>
              </c:strCache>
            </c:strRef>
          </c:cat>
          <c:val>
            <c:numRef>
              <c:f>'Rating and Price'!$B$4:$B$5</c:f>
              <c:numCache>
                <c:formatCode>0</c:formatCode>
                <c:ptCount val="1"/>
                <c:pt idx="0">
                  <c:v>1345</c:v>
                </c:pt>
              </c:numCache>
            </c:numRef>
          </c:val>
          <c:extLst>
            <c:ext xmlns:c16="http://schemas.microsoft.com/office/drawing/2014/chart" uri="{C3380CC4-5D6E-409C-BE32-E72D297353CC}">
              <c16:uniqueId val="{00000000-DA3D-4C5A-96E6-D4A1383D635D}"/>
            </c:ext>
          </c:extLst>
        </c:ser>
        <c:dLbls>
          <c:showLegendKey val="0"/>
          <c:showVal val="0"/>
          <c:showCatName val="0"/>
          <c:showSerName val="0"/>
          <c:showPercent val="0"/>
          <c:showBubbleSize val="0"/>
        </c:dLbls>
        <c:gapWidth val="219"/>
        <c:overlap val="-27"/>
        <c:axId val="1276650607"/>
        <c:axId val="1276661647"/>
      </c:barChart>
      <c:catAx>
        <c:axId val="127665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61647"/>
        <c:crosses val="autoZero"/>
        <c:auto val="1"/>
        <c:lblAlgn val="ctr"/>
        <c:lblOffset val="100"/>
        <c:noMultiLvlLbl val="0"/>
      </c:catAx>
      <c:valAx>
        <c:axId val="127666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Excel_jumia_dataset.xlsx]Top 10 Most Reviewed Pdcts!PivotTable7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Reviewed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Most Reviewed Pdcts'!$B$3</c:f>
              <c:strCache>
                <c:ptCount val="1"/>
                <c:pt idx="0">
                  <c:v>Total</c:v>
                </c:pt>
              </c:strCache>
            </c:strRef>
          </c:tx>
          <c:spPr>
            <a:solidFill>
              <a:schemeClr val="accent2"/>
            </a:solidFill>
            <a:ln>
              <a:noFill/>
            </a:ln>
            <a:effectLst/>
          </c:spPr>
          <c:invertIfNegative val="0"/>
          <c:cat>
            <c:strRef>
              <c:f>'Top 10 Most Reviewed Pdcts'!$A$4:$A$14</c:f>
              <c:strCache>
                <c:ptCount val="10"/>
                <c:pt idx="0">
                  <c:v>3D Waterproof Eva Plastic Shower Curtain 1.8*2Mtrs</c:v>
                </c:pt>
                <c:pt idx="1">
                  <c:v>Punch-Free Great Load Bearing Bathroom Storage Rack Wall Shelf-White</c:v>
                </c:pt>
                <c:pt idx="2">
                  <c:v>Metal Decorative Hooks Key Hangers Entryway Wall Hooks Towel Hooks - Home</c:v>
                </c:pt>
                <c:pt idx="3">
                  <c:v>40Cm Gold Diy Acrylic Wall Sticker Clock</c:v>
                </c:pt>
                <c:pt idx="4">
                  <c:v>Led Eye Protection  Desk Lamp  Study Reading Usb Fan - Double Pen Holder</c:v>
                </c:pt>
                <c:pt idx="5">
                  <c:v>Exfoliate And Exfoliate Face Towel - Black</c:v>
                </c:pt>
                <c:pt idx="6">
                  <c:v>Lasa 3 Tier Bamboo Shoe Bench Storage Shelf</c:v>
                </c:pt>
                <c:pt idx="7">
                  <c:v>Lasa Digital Thermometer And Hydrometer</c:v>
                </c:pt>
                <c:pt idx="8">
                  <c:v>Lasa Folding Table Serving Stand</c:v>
                </c:pt>
                <c:pt idx="9">
                  <c:v>Lasa Aluminum Folding Truck Hand Cart - 68Kg Max</c:v>
                </c:pt>
              </c:strCache>
            </c:strRef>
          </c:cat>
          <c:val>
            <c:numRef>
              <c:f>'Top 10 Most Reviewed Pdcts'!$B$4:$B$14</c:f>
              <c:numCache>
                <c:formatCode>0.0</c:formatCode>
                <c:ptCount val="10"/>
                <c:pt idx="0">
                  <c:v>44</c:v>
                </c:pt>
                <c:pt idx="1">
                  <c:v>36</c:v>
                </c:pt>
                <c:pt idx="2">
                  <c:v>14</c:v>
                </c:pt>
                <c:pt idx="3">
                  <c:v>12</c:v>
                </c:pt>
                <c:pt idx="4">
                  <c:v>9</c:v>
                </c:pt>
                <c:pt idx="5">
                  <c:v>9</c:v>
                </c:pt>
                <c:pt idx="6">
                  <c:v>7</c:v>
                </c:pt>
                <c:pt idx="7">
                  <c:v>6</c:v>
                </c:pt>
                <c:pt idx="8">
                  <c:v>5</c:v>
                </c:pt>
                <c:pt idx="9">
                  <c:v>3</c:v>
                </c:pt>
              </c:numCache>
            </c:numRef>
          </c:val>
          <c:extLst>
            <c:ext xmlns:c16="http://schemas.microsoft.com/office/drawing/2014/chart" uri="{C3380CC4-5D6E-409C-BE32-E72D297353CC}">
              <c16:uniqueId val="{00000000-E0C9-4236-9D40-9DF6A1C3D861}"/>
            </c:ext>
          </c:extLst>
        </c:ser>
        <c:dLbls>
          <c:showLegendKey val="0"/>
          <c:showVal val="0"/>
          <c:showCatName val="0"/>
          <c:showSerName val="0"/>
          <c:showPercent val="0"/>
          <c:showBubbleSize val="0"/>
        </c:dLbls>
        <c:gapWidth val="219"/>
        <c:overlap val="-27"/>
        <c:axId val="970417823"/>
        <c:axId val="970418303"/>
      </c:barChart>
      <c:catAx>
        <c:axId val="97041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8303"/>
        <c:crosses val="autoZero"/>
        <c:auto val="1"/>
        <c:lblAlgn val="ctr"/>
        <c:lblOffset val="100"/>
        <c:noMultiLvlLbl val="0"/>
      </c:catAx>
      <c:valAx>
        <c:axId val="970418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Excel_jumia_dataset.xlsx]Product Discount!PivotTable5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Discount'!$B$3</c:f>
              <c:strCache>
                <c:ptCount val="1"/>
                <c:pt idx="0">
                  <c:v>Total</c:v>
                </c:pt>
              </c:strCache>
            </c:strRef>
          </c:tx>
          <c:spPr>
            <a:solidFill>
              <a:schemeClr val="accent2"/>
            </a:solidFill>
            <a:ln>
              <a:noFill/>
            </a:ln>
            <a:effectLst/>
          </c:spPr>
          <c:invertIfNegative val="0"/>
          <c:cat>
            <c:strRef>
              <c:f>'Product Discount'!$A$4:$A$15</c:f>
              <c:strCache>
                <c:ptCount val="11"/>
                <c:pt idx="0">
                  <c:v>Lasa Folding Table Serving Stand</c:v>
                </c:pt>
                <c:pt idx="1">
                  <c:v>Lasa 3 Tier Bamboo Shoe Bench Storage Shelf</c:v>
                </c:pt>
                <c:pt idx="2">
                  <c:v>Classic Black Cat Cotton Hemp Pillow Case For Home Car</c:v>
                </c:pt>
                <c:pt idx="3">
                  <c:v>Exfoliate And Exfoliate Face Towel - Black</c:v>
                </c:pt>
                <c:pt idx="4">
                  <c:v>Anti-Skid Absorbent Insulation Coaster  For Home Office</c:v>
                </c:pt>
                <c:pt idx="5">
                  <c:v>Bedroom Simple Floor Hanging Clothes Rack Single Pole Hat Rack - White</c:v>
                </c:pt>
                <c:pt idx="6">
                  <c:v>3D Waterproof Eva Plastic Shower Curtain 1.8*2Mtrs</c:v>
                </c:pt>
                <c:pt idx="7">
                  <c:v>Lasa Aluminum Folding Truck Hand Cart - 68Kg Max</c:v>
                </c:pt>
                <c:pt idx="8">
                  <c:v>Led Eye Protection  Desk Lamp  Study Reading Usb Fan - Double Pen Holder</c:v>
                </c:pt>
                <c:pt idx="9">
                  <c:v>Metal Decorative Hooks Key Hangers Entryway Wall Hooks Towel Hooks - Home</c:v>
                </c:pt>
                <c:pt idx="10">
                  <c:v>40Cm Gold Diy Acrylic Wall Sticker Clock</c:v>
                </c:pt>
              </c:strCache>
            </c:strRef>
          </c:cat>
          <c:val>
            <c:numRef>
              <c:f>'Product Discount'!$B$4:$B$15</c:f>
              <c:numCache>
                <c:formatCode>0%</c:formatCode>
                <c:ptCount val="11"/>
                <c:pt idx="0">
                  <c:v>0.55000000000000004</c:v>
                </c:pt>
                <c:pt idx="1">
                  <c:v>0.54</c:v>
                </c:pt>
                <c:pt idx="2">
                  <c:v>0.53</c:v>
                </c:pt>
                <c:pt idx="3">
                  <c:v>0.52</c:v>
                </c:pt>
                <c:pt idx="4">
                  <c:v>0.51</c:v>
                </c:pt>
                <c:pt idx="5">
                  <c:v>0.49</c:v>
                </c:pt>
                <c:pt idx="6">
                  <c:v>0.49</c:v>
                </c:pt>
                <c:pt idx="7">
                  <c:v>0.49</c:v>
                </c:pt>
                <c:pt idx="8">
                  <c:v>0.48</c:v>
                </c:pt>
                <c:pt idx="9">
                  <c:v>0.47</c:v>
                </c:pt>
                <c:pt idx="10">
                  <c:v>0.47</c:v>
                </c:pt>
              </c:numCache>
            </c:numRef>
          </c:val>
          <c:extLst>
            <c:ext xmlns:c16="http://schemas.microsoft.com/office/drawing/2014/chart" uri="{C3380CC4-5D6E-409C-BE32-E72D297353CC}">
              <c16:uniqueId val="{00000000-9230-4E05-9DD1-9D4BB8C76292}"/>
            </c:ext>
          </c:extLst>
        </c:ser>
        <c:dLbls>
          <c:showLegendKey val="0"/>
          <c:showVal val="0"/>
          <c:showCatName val="0"/>
          <c:showSerName val="0"/>
          <c:showPercent val="0"/>
          <c:showBubbleSize val="0"/>
        </c:dLbls>
        <c:gapWidth val="219"/>
        <c:overlap val="-27"/>
        <c:axId val="970419263"/>
        <c:axId val="970414943"/>
      </c:barChart>
      <c:catAx>
        <c:axId val="9704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4943"/>
        <c:crosses val="autoZero"/>
        <c:auto val="1"/>
        <c:lblAlgn val="ctr"/>
        <c:lblOffset val="100"/>
        <c:noMultiLvlLbl val="0"/>
      </c:catAx>
      <c:valAx>
        <c:axId val="970414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1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Excel_jumia_dataset.xlsx]Top 10 Rated Product!PivotTable10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Highest Rated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 Rated Product'!$B$3</c:f>
              <c:strCache>
                <c:ptCount val="1"/>
                <c:pt idx="0">
                  <c:v>Total</c:v>
                </c:pt>
              </c:strCache>
            </c:strRef>
          </c:tx>
          <c:spPr>
            <a:ln w="28575" cap="rnd">
              <a:solidFill>
                <a:schemeClr val="accent2"/>
              </a:solidFill>
              <a:round/>
            </a:ln>
            <a:effectLst/>
          </c:spPr>
          <c:marker>
            <c:symbol val="none"/>
          </c:marker>
          <c:cat>
            <c:strRef>
              <c:f>'Top 10 Rated Product'!$A$4:$A$17</c:f>
              <c:strCache>
                <c:ptCount val="13"/>
                <c:pt idx="0">
                  <c:v>Peacock  Throw Pillow Cushion Case For Home Car</c:v>
                </c:pt>
                <c:pt idx="1">
                  <c:v>Bedroom Simple Floor Hanging Clothes Rack Single Pole Hat Rack - White</c:v>
                </c:pt>
                <c:pt idx="2">
                  <c:v>Lasa Aluminum Folding Truck Hand Cart - 68Kg Max</c:v>
                </c:pt>
                <c:pt idx="3">
                  <c:v>Anti-Skid Absorbent Insulation Coaster  For Home Office</c:v>
                </c:pt>
                <c:pt idx="4">
                  <c:v>Classic Black Cat Cotton Hemp Pillow Case For Home Car</c:v>
                </c:pt>
                <c:pt idx="5">
                  <c:v>Lasa Folding Table Serving Stand</c:v>
                </c:pt>
                <c:pt idx="6">
                  <c:v>40Cm Gold Diy Acrylic Wall Sticker Clock</c:v>
                </c:pt>
                <c:pt idx="7">
                  <c:v>3D Waterproof Eva Plastic Shower Curtain 1.8*2Mtrs</c:v>
                </c:pt>
                <c:pt idx="8">
                  <c:v>Lasa Digital Thermometer And Hydrometer</c:v>
                </c:pt>
                <c:pt idx="9">
                  <c:v>Led Eye Protection  Desk Lamp  Study Reading Usb Fan - Double Pen Holder</c:v>
                </c:pt>
                <c:pt idx="10">
                  <c:v>Punch-Free Great Load Bearing Bathroom Storage Rack Wall Shelf-White</c:v>
                </c:pt>
                <c:pt idx="11">
                  <c:v>Exfoliate And Exfoliate Face Towel - Black</c:v>
                </c:pt>
                <c:pt idx="12">
                  <c:v>Lasa 3 Tier Bamboo Shoe Bench Storage Shelf</c:v>
                </c:pt>
              </c:strCache>
            </c:strRef>
          </c:cat>
          <c:val>
            <c:numRef>
              <c:f>'Top 10 Rated Product'!$B$4:$B$17</c:f>
              <c:numCache>
                <c:formatCode>0.0</c:formatCode>
                <c:ptCount val="13"/>
                <c:pt idx="0">
                  <c:v>5</c:v>
                </c:pt>
                <c:pt idx="1">
                  <c:v>5</c:v>
                </c:pt>
                <c:pt idx="2">
                  <c:v>5</c:v>
                </c:pt>
                <c:pt idx="3">
                  <c:v>5</c:v>
                </c:pt>
                <c:pt idx="4">
                  <c:v>5</c:v>
                </c:pt>
                <c:pt idx="5">
                  <c:v>4.8</c:v>
                </c:pt>
                <c:pt idx="6">
                  <c:v>4.8</c:v>
                </c:pt>
                <c:pt idx="7">
                  <c:v>4.5999999999999996</c:v>
                </c:pt>
                <c:pt idx="8">
                  <c:v>4.5</c:v>
                </c:pt>
                <c:pt idx="9">
                  <c:v>4.3</c:v>
                </c:pt>
                <c:pt idx="10">
                  <c:v>4.3</c:v>
                </c:pt>
                <c:pt idx="11">
                  <c:v>4.3</c:v>
                </c:pt>
                <c:pt idx="12">
                  <c:v>4.3</c:v>
                </c:pt>
              </c:numCache>
            </c:numRef>
          </c:val>
          <c:smooth val="0"/>
          <c:extLst>
            <c:ext xmlns:c16="http://schemas.microsoft.com/office/drawing/2014/chart" uri="{C3380CC4-5D6E-409C-BE32-E72D297353CC}">
              <c16:uniqueId val="{00000000-D061-4923-9294-42C0FCEE7A29}"/>
            </c:ext>
          </c:extLst>
        </c:ser>
        <c:dLbls>
          <c:showLegendKey val="0"/>
          <c:showVal val="0"/>
          <c:showCatName val="0"/>
          <c:showSerName val="0"/>
          <c:showPercent val="0"/>
          <c:showBubbleSize val="0"/>
        </c:dLbls>
        <c:smooth val="0"/>
        <c:axId val="1200435647"/>
        <c:axId val="1200436127"/>
      </c:lineChart>
      <c:catAx>
        <c:axId val="120043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36127"/>
        <c:crosses val="autoZero"/>
        <c:auto val="1"/>
        <c:lblAlgn val="ctr"/>
        <c:lblOffset val="100"/>
        <c:noMultiLvlLbl val="0"/>
      </c:catAx>
      <c:valAx>
        <c:axId val="1200436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3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Excel_jumia_dataset.xlsx]Discount%&amp;Reviews!PivotTable2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'Discount%&amp;Reviews'!$B$3</c:f>
              <c:strCache>
                <c:ptCount val="1"/>
                <c:pt idx="0">
                  <c:v>Total</c:v>
                </c:pt>
              </c:strCache>
            </c:strRef>
          </c:tx>
          <c:spPr>
            <a:solidFill>
              <a:schemeClr val="accent2"/>
            </a:solidFill>
            <a:ln>
              <a:noFill/>
            </a:ln>
            <a:effectLst/>
          </c:spPr>
          <c:invertIfNegative val="0"/>
          <c:cat>
            <c:strRef>
              <c:f>'Discount%&amp;Reviews'!$A$4:$A$5</c:f>
              <c:strCache>
                <c:ptCount val="1"/>
                <c:pt idx="0">
                  <c:v>0.41-0.61</c:v>
                </c:pt>
              </c:strCache>
            </c:strRef>
          </c:cat>
          <c:val>
            <c:numRef>
              <c:f>'Discount%&amp;Reviews'!$B$4:$B$5</c:f>
              <c:numCache>
                <c:formatCode>0.0</c:formatCode>
                <c:ptCount val="1"/>
                <c:pt idx="0">
                  <c:v>10.857142857142858</c:v>
                </c:pt>
              </c:numCache>
            </c:numRef>
          </c:val>
          <c:extLst>
            <c:ext xmlns:c16="http://schemas.microsoft.com/office/drawing/2014/chart" uri="{C3380CC4-5D6E-409C-BE32-E72D297353CC}">
              <c16:uniqueId val="{00000000-5726-45E6-8CBF-159FFEC6E82A}"/>
            </c:ext>
          </c:extLst>
        </c:ser>
        <c:dLbls>
          <c:showLegendKey val="0"/>
          <c:showVal val="0"/>
          <c:showCatName val="0"/>
          <c:showSerName val="0"/>
          <c:showPercent val="0"/>
          <c:showBubbleSize val="0"/>
        </c:dLbls>
        <c:gapWidth val="219"/>
        <c:overlap val="-27"/>
        <c:axId val="769737839"/>
        <c:axId val="769746959"/>
      </c:barChart>
      <c:catAx>
        <c:axId val="76973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46959"/>
        <c:crosses val="autoZero"/>
        <c:auto val="1"/>
        <c:lblAlgn val="ctr"/>
        <c:lblOffset val="100"/>
        <c:noMultiLvlLbl val="0"/>
      </c:catAx>
      <c:valAx>
        <c:axId val="769746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73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Excel_jumia_dataset.xlsx]Rating&amp;Reviews!PivotTable3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'Rating&amp;Reviews'!$B$3</c:f>
              <c:strCache>
                <c:ptCount val="1"/>
                <c:pt idx="0">
                  <c:v>Average of Rating</c:v>
                </c:pt>
              </c:strCache>
            </c:strRef>
          </c:tx>
          <c:spPr>
            <a:solidFill>
              <a:schemeClr val="accent2">
                <a:tint val="77000"/>
              </a:schemeClr>
            </a:solidFill>
            <a:ln>
              <a:noFill/>
            </a:ln>
            <a:effectLst/>
          </c:spPr>
          <c:invertIfNegative val="0"/>
          <c:cat>
            <c:strRef>
              <c:f>'Rating&amp;Reviews'!$A$4:$A$5</c:f>
              <c:strCache>
                <c:ptCount val="1"/>
                <c:pt idx="0">
                  <c:v>Excellent</c:v>
                </c:pt>
              </c:strCache>
            </c:strRef>
          </c:cat>
          <c:val>
            <c:numRef>
              <c:f>'Rating&amp;Reviews'!$B$4:$B$5</c:f>
              <c:numCache>
                <c:formatCode>0.0</c:formatCode>
                <c:ptCount val="1"/>
                <c:pt idx="0">
                  <c:v>4.6428571428571432</c:v>
                </c:pt>
              </c:numCache>
            </c:numRef>
          </c:val>
          <c:extLst>
            <c:ext xmlns:c16="http://schemas.microsoft.com/office/drawing/2014/chart" uri="{C3380CC4-5D6E-409C-BE32-E72D297353CC}">
              <c16:uniqueId val="{00000000-0270-4BAE-BBAB-4A938318AE2F}"/>
            </c:ext>
          </c:extLst>
        </c:ser>
        <c:ser>
          <c:idx val="1"/>
          <c:order val="1"/>
          <c:tx>
            <c:strRef>
              <c:f>'Rating&amp;Reviews'!$C$3</c:f>
              <c:strCache>
                <c:ptCount val="1"/>
                <c:pt idx="0">
                  <c:v>Average of Reviews</c:v>
                </c:pt>
              </c:strCache>
            </c:strRef>
          </c:tx>
          <c:spPr>
            <a:solidFill>
              <a:schemeClr val="accent2">
                <a:shade val="76000"/>
              </a:schemeClr>
            </a:solidFill>
            <a:ln>
              <a:noFill/>
            </a:ln>
            <a:effectLst/>
          </c:spPr>
          <c:invertIfNegative val="0"/>
          <c:cat>
            <c:strRef>
              <c:f>'Rating&amp;Reviews'!$A$4:$A$5</c:f>
              <c:strCache>
                <c:ptCount val="1"/>
                <c:pt idx="0">
                  <c:v>Excellent</c:v>
                </c:pt>
              </c:strCache>
            </c:strRef>
          </c:cat>
          <c:val>
            <c:numRef>
              <c:f>'Rating&amp;Reviews'!$C$4:$C$5</c:f>
              <c:numCache>
                <c:formatCode>0.0</c:formatCode>
                <c:ptCount val="1"/>
                <c:pt idx="0">
                  <c:v>10.857142857142858</c:v>
                </c:pt>
              </c:numCache>
            </c:numRef>
          </c:val>
          <c:extLst>
            <c:ext xmlns:c16="http://schemas.microsoft.com/office/drawing/2014/chart" uri="{C3380CC4-5D6E-409C-BE32-E72D297353CC}">
              <c16:uniqueId val="{00000001-0270-4BAE-BBAB-4A938318AE2F}"/>
            </c:ext>
          </c:extLst>
        </c:ser>
        <c:dLbls>
          <c:showLegendKey val="0"/>
          <c:showVal val="0"/>
          <c:showCatName val="0"/>
          <c:showSerName val="0"/>
          <c:showPercent val="0"/>
          <c:showBubbleSize val="0"/>
        </c:dLbls>
        <c:gapWidth val="219"/>
        <c:overlap val="-27"/>
        <c:axId val="894710783"/>
        <c:axId val="894711263"/>
      </c:barChart>
      <c:catAx>
        <c:axId val="89471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11263"/>
        <c:crosses val="autoZero"/>
        <c:auto val="1"/>
        <c:lblAlgn val="ctr"/>
        <c:lblOffset val="100"/>
        <c:noMultiLvlLbl val="0"/>
      </c:catAx>
      <c:valAx>
        <c:axId val="8947112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1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Excel_jumia_dataset.xlsx]Product by Rating Category!PivotTable9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a:t>
            </a:r>
            <a:r>
              <a:rPr lang="en-US" baseline="0"/>
              <a:t> of Products by Rating and Discount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Rating Category'!$B$3:$B$4</c:f>
              <c:strCache>
                <c:ptCount val="1"/>
                <c:pt idx="0">
                  <c:v>High Discount</c:v>
                </c:pt>
              </c:strCache>
            </c:strRef>
          </c:tx>
          <c:spPr>
            <a:solidFill>
              <a:schemeClr val="accent2"/>
            </a:solidFill>
            <a:ln>
              <a:noFill/>
            </a:ln>
            <a:effectLst/>
          </c:spPr>
          <c:invertIfNegative val="0"/>
          <c:cat>
            <c:strRef>
              <c:f>'Product by Rating Category'!$A$5:$A$6</c:f>
              <c:strCache>
                <c:ptCount val="1"/>
                <c:pt idx="0">
                  <c:v>Excellent</c:v>
                </c:pt>
              </c:strCache>
            </c:strRef>
          </c:cat>
          <c:val>
            <c:numRef>
              <c:f>'Product by Rating Category'!$B$5:$B$6</c:f>
              <c:numCache>
                <c:formatCode>General</c:formatCode>
                <c:ptCount val="1"/>
                <c:pt idx="0">
                  <c:v>14</c:v>
                </c:pt>
              </c:numCache>
            </c:numRef>
          </c:val>
          <c:extLst>
            <c:ext xmlns:c16="http://schemas.microsoft.com/office/drawing/2014/chart" uri="{C3380CC4-5D6E-409C-BE32-E72D297353CC}">
              <c16:uniqueId val="{00000000-3C26-4824-816B-5A7953486556}"/>
            </c:ext>
          </c:extLst>
        </c:ser>
        <c:dLbls>
          <c:showLegendKey val="0"/>
          <c:showVal val="0"/>
          <c:showCatName val="0"/>
          <c:showSerName val="0"/>
          <c:showPercent val="0"/>
          <c:showBubbleSize val="0"/>
        </c:dLbls>
        <c:gapWidth val="219"/>
        <c:overlap val="-27"/>
        <c:axId val="805284207"/>
        <c:axId val="805281327"/>
      </c:barChart>
      <c:catAx>
        <c:axId val="8052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81327"/>
        <c:crosses val="autoZero"/>
        <c:auto val="1"/>
        <c:lblAlgn val="ctr"/>
        <c:lblOffset val="100"/>
        <c:noMultiLvlLbl val="0"/>
      </c:catAx>
      <c:valAx>
        <c:axId val="80528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8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[Cleaned Excel_jumia_dataset.xlsx]Rating and Price!PivotTable11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Rating Category vs Price</a:t>
            </a:r>
            <a:endParaRPr lang="en-US"/>
          </a:p>
        </c:rich>
      </c:tx>
      <c:layout>
        <c:manualLayout>
          <c:xMode val="edge"/>
          <c:yMode val="edge"/>
          <c:x val="0.2560774778316968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and Price'!$B$3</c:f>
              <c:strCache>
                <c:ptCount val="1"/>
                <c:pt idx="0">
                  <c:v>Total</c:v>
                </c:pt>
              </c:strCache>
            </c:strRef>
          </c:tx>
          <c:spPr>
            <a:solidFill>
              <a:schemeClr val="accent2"/>
            </a:solidFill>
            <a:ln>
              <a:noFill/>
            </a:ln>
            <a:effectLst/>
          </c:spPr>
          <c:invertIfNegative val="0"/>
          <c:cat>
            <c:strRef>
              <c:f>'Rating and Price'!$A$4:$A$5</c:f>
              <c:strCache>
                <c:ptCount val="1"/>
                <c:pt idx="0">
                  <c:v>Excellent</c:v>
                </c:pt>
              </c:strCache>
            </c:strRef>
          </c:cat>
          <c:val>
            <c:numRef>
              <c:f>'Rating and Price'!$B$4:$B$5</c:f>
              <c:numCache>
                <c:formatCode>0</c:formatCode>
                <c:ptCount val="1"/>
                <c:pt idx="0">
                  <c:v>1345</c:v>
                </c:pt>
              </c:numCache>
            </c:numRef>
          </c:val>
          <c:extLst>
            <c:ext xmlns:c16="http://schemas.microsoft.com/office/drawing/2014/chart" uri="{C3380CC4-5D6E-409C-BE32-E72D297353CC}">
              <c16:uniqueId val="{00000000-B1F1-499D-A83B-F388AB8623AE}"/>
            </c:ext>
          </c:extLst>
        </c:ser>
        <c:dLbls>
          <c:showLegendKey val="0"/>
          <c:showVal val="0"/>
          <c:showCatName val="0"/>
          <c:showSerName val="0"/>
          <c:showPercent val="0"/>
          <c:showBubbleSize val="0"/>
        </c:dLbls>
        <c:gapWidth val="219"/>
        <c:overlap val="-27"/>
        <c:axId val="1276650607"/>
        <c:axId val="1276661647"/>
      </c:barChart>
      <c:catAx>
        <c:axId val="127665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61647"/>
        <c:crosses val="autoZero"/>
        <c:auto val="1"/>
        <c:lblAlgn val="ctr"/>
        <c:lblOffset val="100"/>
        <c:noMultiLvlLbl val="0"/>
      </c:catAx>
      <c:valAx>
        <c:axId val="127666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463550</xdr:colOff>
      <xdr:row>1</xdr:row>
      <xdr:rowOff>0</xdr:rowOff>
    </xdr:from>
    <xdr:to>
      <xdr:col>9</xdr:col>
      <xdr:colOff>158750</xdr:colOff>
      <xdr:row>15</xdr:row>
      <xdr:rowOff>165100</xdr:rowOff>
    </xdr:to>
    <xdr:graphicFrame macro="">
      <xdr:nvGraphicFramePr>
        <xdr:cNvPr id="2" name="Chart 1">
          <a:extLst>
            <a:ext uri="{FF2B5EF4-FFF2-40B4-BE49-F238E27FC236}">
              <a16:creationId xmlns:a16="http://schemas.microsoft.com/office/drawing/2014/main" id="{DF40B617-2346-0B34-8999-74D0C0C98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3</xdr:row>
      <xdr:rowOff>6350</xdr:rowOff>
    </xdr:from>
    <xdr:to>
      <xdr:col>9</xdr:col>
      <xdr:colOff>469900</xdr:colOff>
      <xdr:row>17</xdr:row>
      <xdr:rowOff>171450</xdr:rowOff>
    </xdr:to>
    <xdr:graphicFrame macro="">
      <xdr:nvGraphicFramePr>
        <xdr:cNvPr id="2" name="Chart 1">
          <a:extLst>
            <a:ext uri="{FF2B5EF4-FFF2-40B4-BE49-F238E27FC236}">
              <a16:creationId xmlns:a16="http://schemas.microsoft.com/office/drawing/2014/main" id="{530251D5-9EF4-8FEF-C6A7-DC6DFB647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2054225</xdr:colOff>
      <xdr:row>5</xdr:row>
      <xdr:rowOff>127000</xdr:rowOff>
    </xdr:from>
    <xdr:to>
      <xdr:col>3</xdr:col>
      <xdr:colOff>212725</xdr:colOff>
      <xdr:row>20</xdr:row>
      <xdr:rowOff>107950</xdr:rowOff>
    </xdr:to>
    <xdr:graphicFrame macro="">
      <xdr:nvGraphicFramePr>
        <xdr:cNvPr id="2" name="Chart 1">
          <a:extLst>
            <a:ext uri="{FF2B5EF4-FFF2-40B4-BE49-F238E27FC236}">
              <a16:creationId xmlns:a16="http://schemas.microsoft.com/office/drawing/2014/main" id="{020C32D4-6751-2C39-1125-28CB89ECF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2660650</xdr:colOff>
      <xdr:row>14</xdr:row>
      <xdr:rowOff>25400</xdr:rowOff>
    </xdr:from>
    <xdr:to>
      <xdr:col>5</xdr:col>
      <xdr:colOff>63500</xdr:colOff>
      <xdr:row>29</xdr:row>
      <xdr:rowOff>6350</xdr:rowOff>
    </xdr:to>
    <xdr:graphicFrame macro="">
      <xdr:nvGraphicFramePr>
        <xdr:cNvPr id="2" name="Chart 1">
          <a:extLst>
            <a:ext uri="{FF2B5EF4-FFF2-40B4-BE49-F238E27FC236}">
              <a16:creationId xmlns:a16="http://schemas.microsoft.com/office/drawing/2014/main" id="{496EA22D-4E2F-A648-971A-1D05F246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50800</xdr:colOff>
      <xdr:row>4</xdr:row>
      <xdr:rowOff>133350</xdr:rowOff>
    </xdr:from>
    <xdr:to>
      <xdr:col>10</xdr:col>
      <xdr:colOff>355600</xdr:colOff>
      <xdr:row>19</xdr:row>
      <xdr:rowOff>114300</xdr:rowOff>
    </xdr:to>
    <xdr:graphicFrame macro="">
      <xdr:nvGraphicFramePr>
        <xdr:cNvPr id="2" name="Chart 1">
          <a:extLst>
            <a:ext uri="{FF2B5EF4-FFF2-40B4-BE49-F238E27FC236}">
              <a16:creationId xmlns:a16="http://schemas.microsoft.com/office/drawing/2014/main" id="{921C09EA-CD74-D114-9127-85C2C9552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50800</xdr:colOff>
      <xdr:row>6</xdr:row>
      <xdr:rowOff>171450</xdr:rowOff>
    </xdr:from>
    <xdr:to>
      <xdr:col>2</xdr:col>
      <xdr:colOff>812800</xdr:colOff>
      <xdr:row>21</xdr:row>
      <xdr:rowOff>28572</xdr:rowOff>
    </xdr:to>
    <mc:AlternateContent xmlns:mc="http://schemas.openxmlformats.org/markup-compatibility/2006">
      <mc:Choice xmlns:a14="http://schemas.microsoft.com/office/drawing/2010/main" Requires="a14">
        <xdr:graphicFrame macro="">
          <xdr:nvGraphicFramePr>
            <xdr:cNvPr id="3" name="Rating">
              <a:extLst>
                <a:ext uri="{FF2B5EF4-FFF2-40B4-BE49-F238E27FC236}">
                  <a16:creationId xmlns:a16="http://schemas.microsoft.com/office/drawing/2014/main" id="{2B0A1CE5-37B1-CCC2-874C-34384B65D39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920750" y="1276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463550</xdr:colOff>
      <xdr:row>8</xdr:row>
      <xdr:rowOff>31750</xdr:rowOff>
    </xdr:from>
    <xdr:to>
      <xdr:col>10</xdr:col>
      <xdr:colOff>171450</xdr:colOff>
      <xdr:row>23</xdr:row>
      <xdr:rowOff>12700</xdr:rowOff>
    </xdr:to>
    <xdr:graphicFrame macro="">
      <xdr:nvGraphicFramePr>
        <xdr:cNvPr id="2" name="Chart 1">
          <a:extLst>
            <a:ext uri="{FF2B5EF4-FFF2-40B4-BE49-F238E27FC236}">
              <a16:creationId xmlns:a16="http://schemas.microsoft.com/office/drawing/2014/main" id="{92501EE3-6303-C7F1-B160-9751B43F0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463550</xdr:colOff>
      <xdr:row>2</xdr:row>
      <xdr:rowOff>82550</xdr:rowOff>
    </xdr:from>
    <xdr:to>
      <xdr:col>13</xdr:col>
      <xdr:colOff>463550</xdr:colOff>
      <xdr:row>16</xdr:row>
      <xdr:rowOff>123822</xdr:rowOff>
    </xdr:to>
    <mc:AlternateContent xmlns:mc="http://schemas.openxmlformats.org/markup-compatibility/2006">
      <mc:Choice xmlns:a14="http://schemas.microsoft.com/office/drawing/2010/main" Requires="a14">
        <xdr:graphicFrame macro="">
          <xdr:nvGraphicFramePr>
            <xdr:cNvPr id="3" name="Discount Category">
              <a:extLst>
                <a:ext uri="{FF2B5EF4-FFF2-40B4-BE49-F238E27FC236}">
                  <a16:creationId xmlns:a16="http://schemas.microsoft.com/office/drawing/2014/main" id="{EA32B684-0A97-FB24-3798-80745EBA9FD7}"/>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8185150" y="450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9</xdr:row>
      <xdr:rowOff>146050</xdr:rowOff>
    </xdr:from>
    <xdr:to>
      <xdr:col>3</xdr:col>
      <xdr:colOff>279400</xdr:colOff>
      <xdr:row>24</xdr:row>
      <xdr:rowOff>3172</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03E1C05A-D405-D487-6881-E193EA26DA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08100" y="180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2260600</xdr:colOff>
      <xdr:row>5</xdr:row>
      <xdr:rowOff>82550</xdr:rowOff>
    </xdr:from>
    <xdr:to>
      <xdr:col>4</xdr:col>
      <xdr:colOff>196850</xdr:colOff>
      <xdr:row>20</xdr:row>
      <xdr:rowOff>63500</xdr:rowOff>
    </xdr:to>
    <xdr:graphicFrame macro="">
      <xdr:nvGraphicFramePr>
        <xdr:cNvPr id="2" name="Chart 1">
          <a:extLst>
            <a:ext uri="{FF2B5EF4-FFF2-40B4-BE49-F238E27FC236}">
              <a16:creationId xmlns:a16="http://schemas.microsoft.com/office/drawing/2014/main" id="{AAD0B4B1-E08A-BBC3-5AC0-1FE21E26C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685800</xdr:colOff>
      <xdr:row>3</xdr:row>
      <xdr:rowOff>82550</xdr:rowOff>
    </xdr:from>
    <xdr:to>
      <xdr:col>9</xdr:col>
      <xdr:colOff>400050</xdr:colOff>
      <xdr:row>18</xdr:row>
      <xdr:rowOff>63500</xdr:rowOff>
    </xdr:to>
    <xdr:graphicFrame macro="">
      <xdr:nvGraphicFramePr>
        <xdr:cNvPr id="2" name="Chart 1">
          <a:extLst>
            <a:ext uri="{FF2B5EF4-FFF2-40B4-BE49-F238E27FC236}">
              <a16:creationId xmlns:a16="http://schemas.microsoft.com/office/drawing/2014/main" id="{973B1006-7B88-61E4-C46E-6975AD965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895350</xdr:colOff>
      <xdr:row>3</xdr:row>
      <xdr:rowOff>38100</xdr:rowOff>
    </xdr:from>
    <xdr:to>
      <xdr:col>5</xdr:col>
      <xdr:colOff>44450</xdr:colOff>
      <xdr:row>10</xdr:row>
      <xdr:rowOff>50800</xdr:rowOff>
    </xdr:to>
    <mc:AlternateContent xmlns:mc="http://schemas.openxmlformats.org/markup-compatibility/2006">
      <mc:Choice xmlns:a14="http://schemas.microsoft.com/office/drawing/2010/main" Requires="a14">
        <xdr:graphicFrame macro="">
          <xdr:nvGraphicFramePr>
            <xdr:cNvPr id="3" name="Rating Category">
              <a:extLst>
                <a:ext uri="{FF2B5EF4-FFF2-40B4-BE49-F238E27FC236}">
                  <a16:creationId xmlns:a16="http://schemas.microsoft.com/office/drawing/2014/main" id="{272E9E4D-F769-4648-64D8-09162E98987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3225800" y="590550"/>
              <a:ext cx="18288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450850</xdr:colOff>
      <xdr:row>0</xdr:row>
      <xdr:rowOff>120650</xdr:rowOff>
    </xdr:from>
    <xdr:to>
      <xdr:col>15</xdr:col>
      <xdr:colOff>44450</xdr:colOff>
      <xdr:row>4</xdr:row>
      <xdr:rowOff>6350</xdr:rowOff>
    </xdr:to>
    <xdr:sp macro="" textlink="">
      <xdr:nvSpPr>
        <xdr:cNvPr id="2" name="Rectangle: Rounded Corners 1">
          <a:extLst>
            <a:ext uri="{FF2B5EF4-FFF2-40B4-BE49-F238E27FC236}">
              <a16:creationId xmlns:a16="http://schemas.microsoft.com/office/drawing/2014/main" id="{A1683332-D044-42C7-4B04-E7781EF16E31}"/>
            </a:ext>
          </a:extLst>
        </xdr:cNvPr>
        <xdr:cNvSpPr/>
      </xdr:nvSpPr>
      <xdr:spPr>
        <a:xfrm>
          <a:off x="2889250" y="120650"/>
          <a:ext cx="6299200" cy="6223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2800" b="1">
              <a:solidFill>
                <a:schemeClr val="accent2"/>
              </a:solidFill>
            </a:rPr>
            <a:t>Jumia Product</a:t>
          </a:r>
          <a:r>
            <a:rPr lang="en-US" sz="2800" b="1" baseline="0">
              <a:solidFill>
                <a:schemeClr val="accent2"/>
              </a:solidFill>
            </a:rPr>
            <a:t> Sales Analytics Dashboard</a:t>
          </a:r>
          <a:endParaRPr lang="en-US" sz="2800" b="1">
            <a:solidFill>
              <a:schemeClr val="accent2"/>
            </a:solidFill>
          </a:endParaRPr>
        </a:p>
      </xdr:txBody>
    </xdr:sp>
    <xdr:clientData/>
  </xdr:twoCellAnchor>
  <xdr:twoCellAnchor>
    <xdr:from>
      <xdr:col>2</xdr:col>
      <xdr:colOff>298450</xdr:colOff>
      <xdr:row>4</xdr:row>
      <xdr:rowOff>152400</xdr:rowOff>
    </xdr:from>
    <xdr:to>
      <xdr:col>6</xdr:col>
      <xdr:colOff>0</xdr:colOff>
      <xdr:row>8</xdr:row>
      <xdr:rowOff>158750</xdr:rowOff>
    </xdr:to>
    <xdr:sp macro="" textlink="">
      <xdr:nvSpPr>
        <xdr:cNvPr id="3" name="Rectangle: Rounded Corners 2">
          <a:extLst>
            <a:ext uri="{FF2B5EF4-FFF2-40B4-BE49-F238E27FC236}">
              <a16:creationId xmlns:a16="http://schemas.microsoft.com/office/drawing/2014/main" id="{E15A689E-6B67-04DA-918E-91726FFB8896}"/>
            </a:ext>
          </a:extLst>
        </xdr:cNvPr>
        <xdr:cNvSpPr/>
      </xdr:nvSpPr>
      <xdr:spPr>
        <a:xfrm>
          <a:off x="1517650" y="889000"/>
          <a:ext cx="2139950" cy="7429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a:solidFill>
                <a:sysClr val="windowText" lastClr="000000"/>
              </a:solidFill>
            </a:rPr>
            <a:t>Total Number</a:t>
          </a:r>
          <a:r>
            <a:rPr lang="en-US" sz="1400" b="1" baseline="0">
              <a:solidFill>
                <a:sysClr val="windowText" lastClr="000000"/>
              </a:solidFill>
            </a:rPr>
            <a:t> of Products</a:t>
          </a:r>
        </a:p>
        <a:p>
          <a:pPr algn="l"/>
          <a:r>
            <a:rPr lang="en-US" sz="1400" b="1" baseline="0">
              <a:solidFill>
                <a:sysClr val="windowText" lastClr="000000"/>
              </a:solidFill>
            </a:rPr>
            <a:t>112</a:t>
          </a:r>
          <a:endParaRPr lang="en-US" sz="1400" b="1">
            <a:solidFill>
              <a:sysClr val="windowText" lastClr="000000"/>
            </a:solidFill>
          </a:endParaRPr>
        </a:p>
      </xdr:txBody>
    </xdr:sp>
    <xdr:clientData/>
  </xdr:twoCellAnchor>
  <xdr:twoCellAnchor>
    <xdr:from>
      <xdr:col>6</xdr:col>
      <xdr:colOff>355600</xdr:colOff>
      <xdr:row>4</xdr:row>
      <xdr:rowOff>165100</xdr:rowOff>
    </xdr:from>
    <xdr:to>
      <xdr:col>9</xdr:col>
      <xdr:colOff>279400</xdr:colOff>
      <xdr:row>8</xdr:row>
      <xdr:rowOff>158750</xdr:rowOff>
    </xdr:to>
    <xdr:sp macro="" textlink="">
      <xdr:nvSpPr>
        <xdr:cNvPr id="4" name="Rectangle: Rounded Corners 3">
          <a:extLst>
            <a:ext uri="{FF2B5EF4-FFF2-40B4-BE49-F238E27FC236}">
              <a16:creationId xmlns:a16="http://schemas.microsoft.com/office/drawing/2014/main" id="{5A46BE67-10B8-4425-F430-CAA091A60836}"/>
            </a:ext>
          </a:extLst>
        </xdr:cNvPr>
        <xdr:cNvSpPr/>
      </xdr:nvSpPr>
      <xdr:spPr>
        <a:xfrm>
          <a:off x="4013200" y="901700"/>
          <a:ext cx="1752600" cy="7302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a:t>Average Rating </a:t>
          </a:r>
          <a:endParaRPr lang="en-US" sz="1400" b="0" i="0" u="none" strike="noStrike">
            <a:solidFill>
              <a:schemeClr val="dk1"/>
            </a:solidFill>
            <a:effectLst/>
            <a:latin typeface="+mn-lt"/>
            <a:ea typeface="+mn-ea"/>
            <a:cs typeface="+mn-cs"/>
          </a:endParaRPr>
        </a:p>
        <a:p>
          <a:pPr algn="l"/>
          <a:r>
            <a:rPr lang="en-US" sz="1400" b="1" i="0" u="none" strike="noStrike">
              <a:solidFill>
                <a:schemeClr val="dk1"/>
              </a:solidFill>
              <a:effectLst/>
              <a:latin typeface="+mn-lt"/>
              <a:ea typeface="+mn-ea"/>
              <a:cs typeface="+mn-cs"/>
            </a:rPr>
            <a:t>3.9</a:t>
          </a:r>
          <a:r>
            <a:rPr lang="en-US" sz="1400" b="1"/>
            <a:t> </a:t>
          </a:r>
        </a:p>
      </xdr:txBody>
    </xdr:sp>
    <xdr:clientData/>
  </xdr:twoCellAnchor>
  <xdr:twoCellAnchor>
    <xdr:from>
      <xdr:col>9</xdr:col>
      <xdr:colOff>577850</xdr:colOff>
      <xdr:row>4</xdr:row>
      <xdr:rowOff>171450</xdr:rowOff>
    </xdr:from>
    <xdr:to>
      <xdr:col>13</xdr:col>
      <xdr:colOff>76200</xdr:colOff>
      <xdr:row>8</xdr:row>
      <xdr:rowOff>158750</xdr:rowOff>
    </xdr:to>
    <xdr:sp macro="" textlink="">
      <xdr:nvSpPr>
        <xdr:cNvPr id="5" name="Rectangle: Rounded Corners 4">
          <a:extLst>
            <a:ext uri="{FF2B5EF4-FFF2-40B4-BE49-F238E27FC236}">
              <a16:creationId xmlns:a16="http://schemas.microsoft.com/office/drawing/2014/main" id="{1E2FB10C-04A2-D71D-A0D2-336BF70D5F67}"/>
            </a:ext>
          </a:extLst>
        </xdr:cNvPr>
        <xdr:cNvSpPr/>
      </xdr:nvSpPr>
      <xdr:spPr>
        <a:xfrm>
          <a:off x="6064250" y="908050"/>
          <a:ext cx="1936750" cy="7239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a:t>Average Discount</a:t>
          </a:r>
        </a:p>
        <a:p>
          <a:pPr algn="l"/>
          <a:r>
            <a:rPr lang="en-US" sz="1400" b="1" i="0" u="none" strike="noStrike">
              <a:solidFill>
                <a:schemeClr val="dk1"/>
              </a:solidFill>
              <a:effectLst/>
              <a:latin typeface="+mn-lt"/>
              <a:ea typeface="+mn-ea"/>
              <a:cs typeface="+mn-cs"/>
            </a:rPr>
            <a:t>37%</a:t>
          </a:r>
          <a:r>
            <a:rPr lang="en-US" sz="1400" b="1"/>
            <a:t> </a:t>
          </a:r>
        </a:p>
      </xdr:txBody>
    </xdr:sp>
    <xdr:clientData/>
  </xdr:twoCellAnchor>
  <xdr:twoCellAnchor>
    <xdr:from>
      <xdr:col>13</xdr:col>
      <xdr:colOff>419100</xdr:colOff>
      <xdr:row>4</xdr:row>
      <xdr:rowOff>171450</xdr:rowOff>
    </xdr:from>
    <xdr:to>
      <xdr:col>16</xdr:col>
      <xdr:colOff>304800</xdr:colOff>
      <xdr:row>8</xdr:row>
      <xdr:rowOff>146050</xdr:rowOff>
    </xdr:to>
    <xdr:sp macro="" textlink="">
      <xdr:nvSpPr>
        <xdr:cNvPr id="6" name="Rectangle: Rounded Corners 5">
          <a:extLst>
            <a:ext uri="{FF2B5EF4-FFF2-40B4-BE49-F238E27FC236}">
              <a16:creationId xmlns:a16="http://schemas.microsoft.com/office/drawing/2014/main" id="{222ED2FA-BD8C-2E59-08C4-B84126390F83}"/>
            </a:ext>
          </a:extLst>
        </xdr:cNvPr>
        <xdr:cNvSpPr/>
      </xdr:nvSpPr>
      <xdr:spPr>
        <a:xfrm>
          <a:off x="8343900" y="908050"/>
          <a:ext cx="1714500" cy="7112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a:t>Total Reviews</a:t>
          </a:r>
          <a:endParaRPr lang="en-US" sz="1400" b="0" i="0" u="none" strike="noStrike">
            <a:solidFill>
              <a:schemeClr val="dk1"/>
            </a:solidFill>
            <a:effectLst/>
            <a:latin typeface="+mn-lt"/>
            <a:ea typeface="+mn-ea"/>
            <a:cs typeface="+mn-cs"/>
          </a:endParaRPr>
        </a:p>
        <a:p>
          <a:pPr algn="l"/>
          <a:r>
            <a:rPr lang="en-US" sz="1400" b="1" i="0" u="none" strike="noStrike">
              <a:solidFill>
                <a:srgbClr val="000000"/>
              </a:solidFill>
              <a:effectLst/>
              <a:latin typeface="+mn-lt"/>
            </a:rPr>
            <a:t>12.7</a:t>
          </a:r>
          <a:r>
            <a:rPr lang="en-US" sz="1400" b="1">
              <a:latin typeface="+mn-lt"/>
            </a:rPr>
            <a:t> </a:t>
          </a:r>
        </a:p>
      </xdr:txBody>
    </xdr:sp>
    <xdr:clientData/>
  </xdr:twoCellAnchor>
  <xdr:twoCellAnchor editAs="oneCell">
    <xdr:from>
      <xdr:col>0</xdr:col>
      <xdr:colOff>76200</xdr:colOff>
      <xdr:row>9</xdr:row>
      <xdr:rowOff>57150</xdr:rowOff>
    </xdr:from>
    <xdr:to>
      <xdr:col>3</xdr:col>
      <xdr:colOff>76200</xdr:colOff>
      <xdr:row>23</xdr:row>
      <xdr:rowOff>98422</xdr:rowOff>
    </xdr:to>
    <mc:AlternateContent xmlns:mc="http://schemas.openxmlformats.org/markup-compatibility/2006">
      <mc:Choice xmlns:a14="http://schemas.microsoft.com/office/drawing/2010/main" Requires="a14">
        <xdr:graphicFrame macro="">
          <xdr:nvGraphicFramePr>
            <xdr:cNvPr id="12" name="Product 1">
              <a:extLst>
                <a:ext uri="{FF2B5EF4-FFF2-40B4-BE49-F238E27FC236}">
                  <a16:creationId xmlns:a16="http://schemas.microsoft.com/office/drawing/2014/main" id="{F9A8908A-2483-4208-A954-D256622D35E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6200" y="171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24</xdr:row>
      <xdr:rowOff>25400</xdr:rowOff>
    </xdr:from>
    <xdr:to>
      <xdr:col>3</xdr:col>
      <xdr:colOff>63500</xdr:colOff>
      <xdr:row>31</xdr:row>
      <xdr:rowOff>19050</xdr:rowOff>
    </xdr:to>
    <mc:AlternateContent xmlns:mc="http://schemas.openxmlformats.org/markup-compatibility/2006">
      <mc:Choice xmlns:a14="http://schemas.microsoft.com/office/drawing/2010/main" Requires="a14">
        <xdr:graphicFrame macro="">
          <xdr:nvGraphicFramePr>
            <xdr:cNvPr id="14" name="Discount Category 1">
              <a:extLst>
                <a:ext uri="{FF2B5EF4-FFF2-40B4-BE49-F238E27FC236}">
                  <a16:creationId xmlns:a16="http://schemas.microsoft.com/office/drawing/2014/main" id="{B663E85E-E2FF-4CB4-BCF5-E36744EE6BC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63500" y="4445000"/>
              <a:ext cx="182880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31</xdr:row>
      <xdr:rowOff>127000</xdr:rowOff>
    </xdr:from>
    <xdr:to>
      <xdr:col>3</xdr:col>
      <xdr:colOff>63500</xdr:colOff>
      <xdr:row>41</xdr:row>
      <xdr:rowOff>171450</xdr:rowOff>
    </xdr:to>
    <mc:AlternateContent xmlns:mc="http://schemas.openxmlformats.org/markup-compatibility/2006">
      <mc:Choice xmlns:a14="http://schemas.microsoft.com/office/drawing/2010/main" Requires="a14">
        <xdr:graphicFrame macro="">
          <xdr:nvGraphicFramePr>
            <xdr:cNvPr id="16" name="Rating 1">
              <a:extLst>
                <a:ext uri="{FF2B5EF4-FFF2-40B4-BE49-F238E27FC236}">
                  <a16:creationId xmlns:a16="http://schemas.microsoft.com/office/drawing/2014/main" id="{FA17EC32-CB2E-4E2D-8827-1BBA6C1791BF}"/>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63500" y="583565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171450</xdr:colOff>
      <xdr:row>9</xdr:row>
      <xdr:rowOff>50800</xdr:rowOff>
    </xdr:from>
    <xdr:to>
      <xdr:col>10</xdr:col>
      <xdr:colOff>400050</xdr:colOff>
      <xdr:row>24</xdr:row>
      <xdr:rowOff>31750</xdr:rowOff>
    </xdr:to>
    <xdr:graphicFrame macro="">
      <xdr:nvGraphicFramePr>
        <xdr:cNvPr id="18" name="Chart 17">
          <a:extLst>
            <a:ext uri="{FF2B5EF4-FFF2-40B4-BE49-F238E27FC236}">
              <a16:creationId xmlns:a16="http://schemas.microsoft.com/office/drawing/2014/main" id="{068091A5-F1AB-4FC4-8F98-BAD695803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158750</xdr:colOff>
      <xdr:row>24</xdr:row>
      <xdr:rowOff>107950</xdr:rowOff>
    </xdr:from>
    <xdr:to>
      <xdr:col>10</xdr:col>
      <xdr:colOff>393700</xdr:colOff>
      <xdr:row>39</xdr:row>
      <xdr:rowOff>88900</xdr:rowOff>
    </xdr:to>
    <xdr:graphicFrame macro="">
      <xdr:nvGraphicFramePr>
        <xdr:cNvPr id="20" name="Chart 19">
          <a:extLst>
            <a:ext uri="{FF2B5EF4-FFF2-40B4-BE49-F238E27FC236}">
              <a16:creationId xmlns:a16="http://schemas.microsoft.com/office/drawing/2014/main" id="{56A68599-FD54-4A28-A612-39C15512C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463550</xdr:colOff>
      <xdr:row>9</xdr:row>
      <xdr:rowOff>44450</xdr:rowOff>
    </xdr:from>
    <xdr:to>
      <xdr:col>18</xdr:col>
      <xdr:colOff>69850</xdr:colOff>
      <xdr:row>24</xdr:row>
      <xdr:rowOff>25400</xdr:rowOff>
    </xdr:to>
    <xdr:graphicFrame macro="">
      <xdr:nvGraphicFramePr>
        <xdr:cNvPr id="22" name="Chart 21">
          <a:extLst>
            <a:ext uri="{FF2B5EF4-FFF2-40B4-BE49-F238E27FC236}">
              <a16:creationId xmlns:a16="http://schemas.microsoft.com/office/drawing/2014/main" id="{D345F5F3-5075-4225-AA19-78101AA81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463550</xdr:colOff>
      <xdr:row>24</xdr:row>
      <xdr:rowOff>101600</xdr:rowOff>
    </xdr:from>
    <xdr:to>
      <xdr:col>18</xdr:col>
      <xdr:colOff>101600</xdr:colOff>
      <xdr:row>39</xdr:row>
      <xdr:rowOff>82550</xdr:rowOff>
    </xdr:to>
    <xdr:graphicFrame macro="">
      <xdr:nvGraphicFramePr>
        <xdr:cNvPr id="24" name="Chart 23">
          <a:extLst>
            <a:ext uri="{FF2B5EF4-FFF2-40B4-BE49-F238E27FC236}">
              <a16:creationId xmlns:a16="http://schemas.microsoft.com/office/drawing/2014/main" id="{FDDEC23D-E795-476C-8D3A-B3D7A5E0C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139700</xdr:colOff>
      <xdr:row>39</xdr:row>
      <xdr:rowOff>171450</xdr:rowOff>
    </xdr:from>
    <xdr:to>
      <xdr:col>10</xdr:col>
      <xdr:colOff>444500</xdr:colOff>
      <xdr:row>54</xdr:row>
      <xdr:rowOff>152400</xdr:rowOff>
    </xdr:to>
    <xdr:graphicFrame macro="">
      <xdr:nvGraphicFramePr>
        <xdr:cNvPr id="26" name="Chart 25">
          <a:extLst>
            <a:ext uri="{FF2B5EF4-FFF2-40B4-BE49-F238E27FC236}">
              <a16:creationId xmlns:a16="http://schemas.microsoft.com/office/drawing/2014/main" id="{EBDFD406-87DC-432B-A37F-96E57310F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527050</xdr:colOff>
      <xdr:row>39</xdr:row>
      <xdr:rowOff>165100</xdr:rowOff>
    </xdr:from>
    <xdr:to>
      <xdr:col>18</xdr:col>
      <xdr:colOff>101600</xdr:colOff>
      <xdr:row>54</xdr:row>
      <xdr:rowOff>146050</xdr:rowOff>
    </xdr:to>
    <xdr:graphicFrame macro="">
      <xdr:nvGraphicFramePr>
        <xdr:cNvPr id="28" name="Chart 27">
          <a:extLst>
            <a:ext uri="{FF2B5EF4-FFF2-40B4-BE49-F238E27FC236}">
              <a16:creationId xmlns:a16="http://schemas.microsoft.com/office/drawing/2014/main" id="{5E16B0FC-DB30-431C-B29D-BA597C8F5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42</xdr:row>
      <xdr:rowOff>69850</xdr:rowOff>
    </xdr:from>
    <xdr:to>
      <xdr:col>3</xdr:col>
      <xdr:colOff>57150</xdr:colOff>
      <xdr:row>49</xdr:row>
      <xdr:rowOff>82550</xdr:rowOff>
    </xdr:to>
    <mc:AlternateContent xmlns:mc="http://schemas.openxmlformats.org/markup-compatibility/2006">
      <mc:Choice xmlns:a14="http://schemas.microsoft.com/office/drawing/2010/main" Requires="a14">
        <xdr:graphicFrame macro="">
          <xdr:nvGraphicFramePr>
            <xdr:cNvPr id="30" name="Rating Category 1">
              <a:extLst>
                <a:ext uri="{FF2B5EF4-FFF2-40B4-BE49-F238E27FC236}">
                  <a16:creationId xmlns:a16="http://schemas.microsoft.com/office/drawing/2014/main" id="{C0A3E42A-1D1C-4923-8382-EB9C210BC6FC}"/>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57150" y="7804150"/>
              <a:ext cx="18288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177800</xdr:colOff>
      <xdr:row>9</xdr:row>
      <xdr:rowOff>50800</xdr:rowOff>
    </xdr:from>
    <xdr:to>
      <xdr:col>26</xdr:col>
      <xdr:colOff>133350</xdr:colOff>
      <xdr:row>24</xdr:row>
      <xdr:rowOff>31750</xdr:rowOff>
    </xdr:to>
    <xdr:graphicFrame macro="">
      <xdr:nvGraphicFramePr>
        <xdr:cNvPr id="32" name="Chart 31">
          <a:extLst>
            <a:ext uri="{FF2B5EF4-FFF2-40B4-BE49-F238E27FC236}">
              <a16:creationId xmlns:a16="http://schemas.microsoft.com/office/drawing/2014/main" id="{B60AF701-6657-4FF7-963A-C766B3A99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411093402778" createdVersion="8" refreshedVersion="8" minRefreshableVersion="3" recordCount="112" xr:uid="{B26CC70A-6FD4-4989-9780-93A9F15AC616}">
  <cacheSource type="worksheet">
    <worksheetSource ref="A1:I113" sheet="Cleaned Excel_jumia_dataset"/>
  </cacheSource>
  <cacheFields count="9">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2"/>
        <groupItems count="6">
          <s v="&lt;0.01"/>
          <s v="0.01-0.21"/>
          <s v="0.21-0.41"/>
          <s v="0.41-0.61"/>
          <s v="0.61-0.81"/>
          <s v="&gt;0.81"/>
        </groupItems>
      </fieldGroup>
    </cacheField>
    <cacheField name="Reviews" numFmtId="169">
      <sharedItems containsSemiMixedTypes="0" containsString="0" containsNumber="1" minValue="1" maxValue="69"/>
    </cacheField>
    <cacheField name="Rating" numFmtId="169">
      <sharedItems containsSemiMixedTypes="0" containsString="0" containsNumber="1" minValue="2" maxValue="5" count="23">
        <n v="4.5"/>
        <n v="4.0999999999999996"/>
        <n v="4.5999999999999996"/>
        <n v="4.7"/>
        <n v="4.8"/>
        <n v="4"/>
        <n v="3.8"/>
        <n v="4.2"/>
        <n v="5"/>
        <n v="3.3"/>
        <n v="3.8894736999999999"/>
        <n v="4.4000000000000004"/>
        <n v="4.3"/>
        <n v="2.5"/>
        <n v="3"/>
        <n v="2.1"/>
        <n v="2.8"/>
        <n v="2.7"/>
        <n v="2.9"/>
        <n v="2.2000000000000002"/>
        <n v="2.2999999999999998"/>
        <n v="2.6"/>
        <n v="2"/>
      </sharedItems>
      <fieldGroup base="5">
        <rangePr startNum="2" endNum="5"/>
        <groupItems count="5">
          <s v="&lt;2"/>
          <s v="2-3"/>
          <s v="3-4"/>
          <s v="4-5"/>
          <s v="&gt;5"/>
        </groupItems>
      </fieldGroup>
    </cacheField>
    <cacheField name="Absolute Discount" numFmtId="1">
      <sharedItems containsSemiMixedTypes="0" containsString="0" containsNumber="1" containsInteger="1" minValue="24" maxValue="2585"/>
    </cacheField>
    <cacheField name="Rating Category" numFmtId="49">
      <sharedItems count="3">
        <s v="Excellent"/>
        <s v="Average"/>
        <s v="Poor"/>
      </sharedItems>
    </cacheField>
    <cacheField name="Discount Category" numFmtId="49">
      <sharedItems count="3">
        <s v="Medium Discount"/>
        <s v="High Discount"/>
        <s v="Low Discount"/>
      </sharedItems>
    </cacheField>
  </cacheFields>
  <extLst>
    <ext xmlns:x14="http://schemas.microsoft.com/office/spreadsheetml/2009/9/main" uri="{725AE2AE-9491-48be-B2B4-4EB974FC3084}">
      <x14:pivotCacheDefinition pivotCacheId="1683627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n v="2"/>
    <x v="0"/>
    <n v="575"/>
    <x v="0"/>
    <x v="0"/>
  </r>
  <r>
    <x v="1"/>
    <n v="527"/>
    <n v="999"/>
    <x v="1"/>
    <n v="14"/>
    <x v="1"/>
    <n v="472"/>
    <x v="0"/>
    <x v="1"/>
  </r>
  <r>
    <x v="2"/>
    <n v="2199"/>
    <n v="2923"/>
    <x v="2"/>
    <n v="24"/>
    <x v="2"/>
    <n v="724"/>
    <x v="0"/>
    <x v="0"/>
  </r>
  <r>
    <x v="3"/>
    <n v="1580"/>
    <n v="2499"/>
    <x v="3"/>
    <n v="7"/>
    <x v="3"/>
    <n v="919"/>
    <x v="0"/>
    <x v="0"/>
  </r>
  <r>
    <x v="4"/>
    <n v="1740"/>
    <n v="2356"/>
    <x v="4"/>
    <n v="5"/>
    <x v="4"/>
    <n v="616"/>
    <x v="0"/>
    <x v="0"/>
  </r>
  <r>
    <x v="5"/>
    <n v="2999"/>
    <n v="3290"/>
    <x v="5"/>
    <n v="15"/>
    <x v="5"/>
    <n v="291"/>
    <x v="1"/>
    <x v="2"/>
  </r>
  <r>
    <x v="6"/>
    <n v="2319"/>
    <n v="3032"/>
    <x v="6"/>
    <n v="55"/>
    <x v="2"/>
    <n v="713"/>
    <x v="0"/>
    <x v="0"/>
  </r>
  <r>
    <x v="7"/>
    <n v="988"/>
    <n v="1580"/>
    <x v="3"/>
    <n v="2"/>
    <x v="5"/>
    <n v="592"/>
    <x v="1"/>
    <x v="0"/>
  </r>
  <r>
    <x v="8"/>
    <n v="1274"/>
    <n v="2800"/>
    <x v="7"/>
    <n v="5"/>
    <x v="4"/>
    <n v="1526"/>
    <x v="0"/>
    <x v="1"/>
  </r>
  <r>
    <x v="9"/>
    <n v="1600"/>
    <n v="2929"/>
    <x v="8"/>
    <n v="5"/>
    <x v="6"/>
    <n v="1329"/>
    <x v="1"/>
    <x v="1"/>
  </r>
  <r>
    <x v="10"/>
    <n v="799"/>
    <n v="999"/>
    <x v="9"/>
    <n v="12"/>
    <x v="1"/>
    <n v="200"/>
    <x v="0"/>
    <x v="0"/>
  </r>
  <r>
    <x v="11"/>
    <n v="990"/>
    <n v="1500"/>
    <x v="10"/>
    <n v="39"/>
    <x v="3"/>
    <n v="510"/>
    <x v="0"/>
    <x v="0"/>
  </r>
  <r>
    <x v="12"/>
    <n v="552"/>
    <n v="1035"/>
    <x v="1"/>
    <n v="12"/>
    <x v="4"/>
    <n v="483"/>
    <x v="0"/>
    <x v="1"/>
  </r>
  <r>
    <x v="13"/>
    <n v="501"/>
    <n v="860"/>
    <x v="11"/>
    <n v="6"/>
    <x v="0"/>
    <n v="359"/>
    <x v="0"/>
    <x v="1"/>
  </r>
  <r>
    <x v="14"/>
    <n v="1680"/>
    <n v="2499"/>
    <x v="12"/>
    <n v="9"/>
    <x v="7"/>
    <n v="819"/>
    <x v="0"/>
    <x v="0"/>
  </r>
  <r>
    <x v="15"/>
    <n v="332"/>
    <n v="684"/>
    <x v="13"/>
    <n v="2"/>
    <x v="8"/>
    <n v="352"/>
    <x v="0"/>
    <x v="1"/>
  </r>
  <r>
    <x v="16"/>
    <n v="195"/>
    <n v="360"/>
    <x v="14"/>
    <n v="2"/>
    <x v="8"/>
    <n v="165"/>
    <x v="0"/>
    <x v="1"/>
  </r>
  <r>
    <x v="17"/>
    <n v="2025"/>
    <n v="3971"/>
    <x v="15"/>
    <n v="3"/>
    <x v="8"/>
    <n v="1946"/>
    <x v="0"/>
    <x v="1"/>
  </r>
  <r>
    <x v="18"/>
    <n v="2999"/>
    <n v="3699"/>
    <x v="16"/>
    <n v="5"/>
    <x v="2"/>
    <n v="700"/>
    <x v="0"/>
    <x v="2"/>
  </r>
  <r>
    <x v="19"/>
    <n v="998"/>
    <n v="1966"/>
    <x v="15"/>
    <n v="44"/>
    <x v="2"/>
    <n v="968"/>
    <x v="0"/>
    <x v="1"/>
  </r>
  <r>
    <x v="20"/>
    <n v="38"/>
    <n v="80"/>
    <x v="17"/>
    <n v="13"/>
    <x v="9"/>
    <n v="42"/>
    <x v="1"/>
    <x v="1"/>
  </r>
  <r>
    <x v="21"/>
    <n v="1860"/>
    <n v="3220"/>
    <x v="11"/>
    <n v="12.68"/>
    <x v="10"/>
    <n v="1360"/>
    <x v="1"/>
    <x v="1"/>
  </r>
  <r>
    <x v="22"/>
    <n v="880"/>
    <n v="1350"/>
    <x v="18"/>
    <n v="6"/>
    <x v="5"/>
    <n v="470"/>
    <x v="1"/>
    <x v="0"/>
  </r>
  <r>
    <x v="23"/>
    <n v="1650"/>
    <n v="2150"/>
    <x v="19"/>
    <n v="14"/>
    <x v="11"/>
    <n v="500"/>
    <x v="0"/>
    <x v="0"/>
  </r>
  <r>
    <x v="24"/>
    <n v="2048"/>
    <n v="4500"/>
    <x v="20"/>
    <n v="7"/>
    <x v="12"/>
    <n v="2452"/>
    <x v="0"/>
    <x v="1"/>
  </r>
  <r>
    <x v="25"/>
    <n v="420"/>
    <n v="647"/>
    <x v="18"/>
    <n v="49"/>
    <x v="2"/>
    <n v="227"/>
    <x v="0"/>
    <x v="0"/>
  </r>
  <r>
    <x v="26"/>
    <n v="2880"/>
    <n v="3520"/>
    <x v="21"/>
    <n v="12"/>
    <x v="6"/>
    <n v="640"/>
    <x v="1"/>
    <x v="2"/>
  </r>
  <r>
    <x v="27"/>
    <n v="1350"/>
    <n v="1990"/>
    <x v="22"/>
    <n v="13"/>
    <x v="6"/>
    <n v="640"/>
    <x v="1"/>
    <x v="0"/>
  </r>
  <r>
    <x v="28"/>
    <n v="1758"/>
    <n v="2499"/>
    <x v="23"/>
    <n v="20"/>
    <x v="1"/>
    <n v="741"/>
    <x v="0"/>
    <x v="0"/>
  </r>
  <r>
    <x v="29"/>
    <n v="2200"/>
    <n v="4080"/>
    <x v="14"/>
    <n v="12.68"/>
    <x v="10"/>
    <n v="1880"/>
    <x v="1"/>
    <x v="1"/>
  </r>
  <r>
    <x v="30"/>
    <n v="185"/>
    <n v="382"/>
    <x v="24"/>
    <n v="9"/>
    <x v="12"/>
    <n v="197"/>
    <x v="0"/>
    <x v="1"/>
  </r>
  <r>
    <x v="31"/>
    <n v="980"/>
    <n v="1490"/>
    <x v="10"/>
    <n v="12"/>
    <x v="3"/>
    <n v="510"/>
    <x v="0"/>
    <x v="0"/>
  </r>
  <r>
    <x v="32"/>
    <n v="1820"/>
    <n v="3490"/>
    <x v="25"/>
    <n v="9"/>
    <x v="12"/>
    <n v="1670"/>
    <x v="0"/>
    <x v="1"/>
  </r>
  <r>
    <x v="33"/>
    <n v="1940"/>
    <n v="2650"/>
    <x v="26"/>
    <n v="20"/>
    <x v="3"/>
    <n v="710"/>
    <x v="0"/>
    <x v="0"/>
  </r>
  <r>
    <x v="34"/>
    <n v="1980"/>
    <n v="2699"/>
    <x v="26"/>
    <n v="32"/>
    <x v="0"/>
    <n v="719"/>
    <x v="0"/>
    <x v="0"/>
  </r>
  <r>
    <x v="35"/>
    <n v="1620"/>
    <n v="2690"/>
    <x v="27"/>
    <n v="1"/>
    <x v="8"/>
    <n v="1070"/>
    <x v="0"/>
    <x v="0"/>
  </r>
  <r>
    <x v="36"/>
    <n v="171"/>
    <n v="360"/>
    <x v="17"/>
    <n v="2"/>
    <x v="8"/>
    <n v="189"/>
    <x v="0"/>
    <x v="1"/>
  </r>
  <r>
    <x v="37"/>
    <n v="389"/>
    <n v="656"/>
    <x v="28"/>
    <n v="36"/>
    <x v="12"/>
    <n v="267"/>
    <x v="0"/>
    <x v="1"/>
  </r>
  <r>
    <x v="38"/>
    <n v="1800"/>
    <n v="2700"/>
    <x v="0"/>
    <n v="2"/>
    <x v="0"/>
    <n v="900"/>
    <x v="0"/>
    <x v="0"/>
  </r>
  <r>
    <x v="39"/>
    <n v="2750"/>
    <n v="4471"/>
    <x v="0"/>
    <n v="12.68"/>
    <x v="10"/>
    <n v="1721"/>
    <x v="1"/>
    <x v="0"/>
  </r>
  <r>
    <x v="40"/>
    <n v="475"/>
    <n v="931"/>
    <x v="15"/>
    <n v="12.68"/>
    <x v="10"/>
    <n v="456"/>
    <x v="1"/>
    <x v="1"/>
  </r>
  <r>
    <x v="41"/>
    <n v="238"/>
    <n v="476"/>
    <x v="29"/>
    <n v="12.68"/>
    <x v="10"/>
    <n v="238"/>
    <x v="1"/>
    <x v="1"/>
  </r>
  <r>
    <x v="42"/>
    <n v="610"/>
    <n v="1060"/>
    <x v="11"/>
    <n v="12.68"/>
    <x v="10"/>
    <n v="450"/>
    <x v="1"/>
    <x v="1"/>
  </r>
  <r>
    <x v="43"/>
    <n v="2132"/>
    <n v="2169"/>
    <x v="30"/>
    <n v="12.68"/>
    <x v="10"/>
    <n v="37"/>
    <x v="1"/>
    <x v="2"/>
  </r>
  <r>
    <x v="44"/>
    <n v="999"/>
    <n v="2000"/>
    <x v="29"/>
    <n v="12.68"/>
    <x v="10"/>
    <n v="1001"/>
    <x v="1"/>
    <x v="1"/>
  </r>
  <r>
    <x v="45"/>
    <n v="1190"/>
    <n v="1785"/>
    <x v="12"/>
    <n v="12.68"/>
    <x v="10"/>
    <n v="595"/>
    <x v="1"/>
    <x v="0"/>
  </r>
  <r>
    <x v="46"/>
    <n v="671"/>
    <n v="1316"/>
    <x v="15"/>
    <n v="12.68"/>
    <x v="10"/>
    <n v="645"/>
    <x v="1"/>
    <x v="1"/>
  </r>
  <r>
    <x v="47"/>
    <n v="1200"/>
    <n v="1950"/>
    <x v="0"/>
    <n v="12.68"/>
    <x v="10"/>
    <n v="750"/>
    <x v="1"/>
    <x v="0"/>
  </r>
  <r>
    <x v="48"/>
    <n v="199"/>
    <n v="504"/>
    <x v="31"/>
    <n v="12.68"/>
    <x v="10"/>
    <n v="305"/>
    <x v="1"/>
    <x v="1"/>
  </r>
  <r>
    <x v="49"/>
    <n v="299"/>
    <n v="600"/>
    <x v="29"/>
    <n v="12.68"/>
    <x v="10"/>
    <n v="301"/>
    <x v="1"/>
    <x v="1"/>
  </r>
  <r>
    <x v="50"/>
    <n v="1660"/>
    <n v="1699"/>
    <x v="30"/>
    <n v="12.68"/>
    <x v="10"/>
    <n v="39"/>
    <x v="1"/>
    <x v="2"/>
  </r>
  <r>
    <x v="51"/>
    <n v="299"/>
    <n v="384"/>
    <x v="32"/>
    <n v="12.68"/>
    <x v="10"/>
    <n v="85"/>
    <x v="1"/>
    <x v="0"/>
  </r>
  <r>
    <x v="52"/>
    <n v="1459"/>
    <n v="1499"/>
    <x v="33"/>
    <n v="12.68"/>
    <x v="10"/>
    <n v="40"/>
    <x v="1"/>
    <x v="2"/>
  </r>
  <r>
    <x v="53"/>
    <n v="799"/>
    <n v="1343"/>
    <x v="28"/>
    <n v="12.68"/>
    <x v="10"/>
    <n v="544"/>
    <x v="1"/>
    <x v="1"/>
  </r>
  <r>
    <x v="54"/>
    <n v="499"/>
    <n v="900"/>
    <x v="8"/>
    <n v="12.68"/>
    <x v="10"/>
    <n v="401"/>
    <x v="1"/>
    <x v="1"/>
  </r>
  <r>
    <x v="55"/>
    <n v="699"/>
    <n v="1343"/>
    <x v="25"/>
    <n v="12.68"/>
    <x v="10"/>
    <n v="644"/>
    <x v="1"/>
    <x v="1"/>
  </r>
  <r>
    <x v="56"/>
    <n v="799"/>
    <n v="1567"/>
    <x v="15"/>
    <n v="12.68"/>
    <x v="10"/>
    <n v="768"/>
    <x v="1"/>
    <x v="1"/>
  </r>
  <r>
    <x v="57"/>
    <n v="2799"/>
    <n v="3810"/>
    <x v="26"/>
    <n v="12.68"/>
    <x v="10"/>
    <n v="1011"/>
    <x v="1"/>
    <x v="0"/>
  </r>
  <r>
    <x v="54"/>
    <n v="399"/>
    <n v="896"/>
    <x v="7"/>
    <n v="12.68"/>
    <x v="10"/>
    <n v="497"/>
    <x v="1"/>
    <x v="1"/>
  </r>
  <r>
    <x v="58"/>
    <n v="2170"/>
    <n v="2500"/>
    <x v="34"/>
    <n v="6"/>
    <x v="13"/>
    <n v="330"/>
    <x v="2"/>
    <x v="2"/>
  </r>
  <r>
    <x v="59"/>
    <n v="458"/>
    <n v="986"/>
    <x v="20"/>
    <n v="10"/>
    <x v="14"/>
    <n v="528"/>
    <x v="1"/>
    <x v="1"/>
  </r>
  <r>
    <x v="60"/>
    <n v="2115"/>
    <n v="4700"/>
    <x v="7"/>
    <n v="13"/>
    <x v="15"/>
    <n v="2585"/>
    <x v="2"/>
    <x v="1"/>
  </r>
  <r>
    <x v="61"/>
    <n v="445"/>
    <n v="873"/>
    <x v="15"/>
    <n v="69"/>
    <x v="16"/>
    <n v="428"/>
    <x v="2"/>
    <x v="1"/>
  </r>
  <r>
    <x v="62"/>
    <n v="325"/>
    <n v="680"/>
    <x v="24"/>
    <n v="15"/>
    <x v="17"/>
    <n v="355"/>
    <x v="2"/>
    <x v="1"/>
  </r>
  <r>
    <x v="63"/>
    <n v="1220"/>
    <n v="1555"/>
    <x v="32"/>
    <n v="16"/>
    <x v="18"/>
    <n v="335"/>
    <x v="2"/>
    <x v="0"/>
  </r>
  <r>
    <x v="64"/>
    <n v="990"/>
    <n v="1814"/>
    <x v="8"/>
    <n v="6"/>
    <x v="19"/>
    <n v="824"/>
    <x v="2"/>
    <x v="1"/>
  </r>
  <r>
    <x v="65"/>
    <n v="1000"/>
    <n v="2000"/>
    <x v="29"/>
    <n v="7"/>
    <x v="20"/>
    <n v="1000"/>
    <x v="2"/>
    <x v="1"/>
  </r>
  <r>
    <x v="66"/>
    <n v="3750"/>
    <n v="6143"/>
    <x v="35"/>
    <n v="5"/>
    <x v="14"/>
    <n v="2393"/>
    <x v="1"/>
    <x v="0"/>
  </r>
  <r>
    <x v="67"/>
    <n v="382"/>
    <n v="700"/>
    <x v="8"/>
    <n v="17"/>
    <x v="21"/>
    <n v="318"/>
    <x v="2"/>
    <x v="1"/>
  </r>
  <r>
    <x v="68"/>
    <n v="2300"/>
    <n v="3240"/>
    <x v="36"/>
    <n v="5"/>
    <x v="14"/>
    <n v="940"/>
    <x v="1"/>
    <x v="0"/>
  </r>
  <r>
    <x v="69"/>
    <n v="345"/>
    <n v="602"/>
    <x v="37"/>
    <n v="6"/>
    <x v="20"/>
    <n v="257"/>
    <x v="2"/>
    <x v="1"/>
  </r>
  <r>
    <x v="70"/>
    <n v="509"/>
    <n v="899"/>
    <x v="37"/>
    <n v="5"/>
    <x v="14"/>
    <n v="390"/>
    <x v="1"/>
    <x v="1"/>
  </r>
  <r>
    <x v="71"/>
    <n v="968"/>
    <n v="1814"/>
    <x v="1"/>
    <n v="6"/>
    <x v="19"/>
    <n v="846"/>
    <x v="2"/>
    <x v="1"/>
  </r>
  <r>
    <x v="72"/>
    <n v="1570"/>
    <n v="2988"/>
    <x v="1"/>
    <n v="7"/>
    <x v="15"/>
    <n v="1418"/>
    <x v="2"/>
    <x v="1"/>
  </r>
  <r>
    <x v="73"/>
    <n v="790"/>
    <n v="1485"/>
    <x v="1"/>
    <n v="12.68"/>
    <x v="10"/>
    <n v="695"/>
    <x v="1"/>
    <x v="1"/>
  </r>
  <r>
    <x v="74"/>
    <n v="690"/>
    <n v="1200"/>
    <x v="37"/>
    <n v="12.68"/>
    <x v="10"/>
    <n v="510"/>
    <x v="1"/>
    <x v="1"/>
  </r>
  <r>
    <x v="75"/>
    <n v="1732"/>
    <n v="1799"/>
    <x v="38"/>
    <n v="12.68"/>
    <x v="10"/>
    <n v="67"/>
    <x v="1"/>
    <x v="2"/>
  </r>
  <r>
    <x v="76"/>
    <n v="230"/>
    <n v="450"/>
    <x v="15"/>
    <n v="12.68"/>
    <x v="10"/>
    <n v="220"/>
    <x v="1"/>
    <x v="1"/>
  </r>
  <r>
    <x v="77"/>
    <n v="1189"/>
    <n v="2199"/>
    <x v="14"/>
    <n v="1"/>
    <x v="14"/>
    <n v="1010"/>
    <x v="1"/>
    <x v="1"/>
  </r>
  <r>
    <x v="78"/>
    <n v="979"/>
    <n v="1920"/>
    <x v="15"/>
    <n v="1"/>
    <x v="8"/>
    <n v="941"/>
    <x v="0"/>
    <x v="1"/>
  </r>
  <r>
    <x v="79"/>
    <n v="1460"/>
    <n v="2290"/>
    <x v="39"/>
    <n v="12.68"/>
    <x v="10"/>
    <n v="830"/>
    <x v="1"/>
    <x v="0"/>
  </r>
  <r>
    <x v="80"/>
    <n v="1666"/>
    <n v="1699"/>
    <x v="30"/>
    <n v="12.68"/>
    <x v="10"/>
    <n v="33"/>
    <x v="1"/>
    <x v="2"/>
  </r>
  <r>
    <x v="81"/>
    <n v="330"/>
    <n v="647"/>
    <x v="15"/>
    <n v="1"/>
    <x v="5"/>
    <n v="317"/>
    <x v="1"/>
    <x v="1"/>
  </r>
  <r>
    <x v="48"/>
    <n v="176"/>
    <n v="345"/>
    <x v="15"/>
    <n v="12.68"/>
    <x v="10"/>
    <n v="169"/>
    <x v="1"/>
    <x v="1"/>
  </r>
  <r>
    <x v="82"/>
    <n v="1466"/>
    <n v="1699"/>
    <x v="40"/>
    <n v="12.68"/>
    <x v="10"/>
    <n v="233"/>
    <x v="1"/>
    <x v="2"/>
  </r>
  <r>
    <x v="83"/>
    <n v="274"/>
    <n v="537"/>
    <x v="15"/>
    <n v="12.68"/>
    <x v="10"/>
    <n v="263"/>
    <x v="1"/>
    <x v="1"/>
  </r>
  <r>
    <x v="84"/>
    <n v="799"/>
    <n v="900"/>
    <x v="41"/>
    <n v="12.68"/>
    <x v="10"/>
    <n v="101"/>
    <x v="1"/>
    <x v="2"/>
  </r>
  <r>
    <x v="56"/>
    <n v="657"/>
    <n v="1288"/>
    <x v="15"/>
    <n v="12.68"/>
    <x v="10"/>
    <n v="631"/>
    <x v="1"/>
    <x v="1"/>
  </r>
  <r>
    <x v="85"/>
    <n v="1468"/>
    <n v="1699"/>
    <x v="40"/>
    <n v="12.68"/>
    <x v="10"/>
    <n v="231"/>
    <x v="1"/>
    <x v="2"/>
  </r>
  <r>
    <x v="86"/>
    <n v="630"/>
    <n v="1100"/>
    <x v="37"/>
    <n v="12.68"/>
    <x v="10"/>
    <n v="470"/>
    <x v="1"/>
    <x v="1"/>
  </r>
  <r>
    <x v="87"/>
    <n v="850"/>
    <n v="1700"/>
    <x v="29"/>
    <n v="12.68"/>
    <x v="10"/>
    <n v="850"/>
    <x v="1"/>
    <x v="1"/>
  </r>
  <r>
    <x v="88"/>
    <n v="1300"/>
    <n v="2500"/>
    <x v="25"/>
    <n v="12.68"/>
    <x v="10"/>
    <n v="1200"/>
    <x v="1"/>
    <x v="1"/>
  </r>
  <r>
    <x v="89"/>
    <n v="105"/>
    <n v="200"/>
    <x v="25"/>
    <n v="12.68"/>
    <x v="10"/>
    <n v="95"/>
    <x v="1"/>
    <x v="1"/>
  </r>
  <r>
    <x v="90"/>
    <n v="899"/>
    <n v="1699"/>
    <x v="1"/>
    <n v="12.68"/>
    <x v="10"/>
    <n v="800"/>
    <x v="1"/>
    <x v="1"/>
  </r>
  <r>
    <x v="91"/>
    <n v="1200"/>
    <n v="2400"/>
    <x v="29"/>
    <n v="12.68"/>
    <x v="10"/>
    <n v="1200"/>
    <x v="1"/>
    <x v="1"/>
  </r>
  <r>
    <x v="92"/>
    <n v="1526"/>
    <n v="1660"/>
    <x v="42"/>
    <n v="12.68"/>
    <x v="10"/>
    <n v="134"/>
    <x v="1"/>
    <x v="2"/>
  </r>
  <r>
    <x v="93"/>
    <n v="1462"/>
    <n v="1499"/>
    <x v="30"/>
    <n v="12.68"/>
    <x v="10"/>
    <n v="37"/>
    <x v="1"/>
    <x v="2"/>
  </r>
  <r>
    <x v="94"/>
    <n v="248"/>
    <n v="486"/>
    <x v="15"/>
    <n v="12.68"/>
    <x v="10"/>
    <n v="238"/>
    <x v="1"/>
    <x v="1"/>
  </r>
  <r>
    <x v="95"/>
    <n v="3546"/>
    <n v="3699"/>
    <x v="38"/>
    <n v="12.68"/>
    <x v="10"/>
    <n v="153"/>
    <x v="1"/>
    <x v="2"/>
  </r>
  <r>
    <x v="96"/>
    <n v="525"/>
    <n v="1029"/>
    <x v="15"/>
    <n v="12.68"/>
    <x v="10"/>
    <n v="504"/>
    <x v="1"/>
    <x v="1"/>
  </r>
  <r>
    <x v="97"/>
    <n v="1080"/>
    <n v="1874"/>
    <x v="11"/>
    <n v="12.68"/>
    <x v="10"/>
    <n v="794"/>
    <x v="1"/>
    <x v="1"/>
  </r>
  <r>
    <x v="98"/>
    <n v="3640"/>
    <n v="4588"/>
    <x v="43"/>
    <n v="1"/>
    <x v="8"/>
    <n v="948"/>
    <x v="0"/>
    <x v="0"/>
  </r>
  <r>
    <x v="99"/>
    <n v="1420"/>
    <n v="2420"/>
    <x v="28"/>
    <n v="12.68"/>
    <x v="10"/>
    <n v="1000"/>
    <x v="1"/>
    <x v="1"/>
  </r>
  <r>
    <x v="100"/>
    <n v="1875"/>
    <n v="1899"/>
    <x v="44"/>
    <n v="12.68"/>
    <x v="10"/>
    <n v="24"/>
    <x v="1"/>
    <x v="2"/>
  </r>
  <r>
    <x v="101"/>
    <n v="198"/>
    <n v="260"/>
    <x v="6"/>
    <n v="12.68"/>
    <x v="10"/>
    <n v="62"/>
    <x v="1"/>
    <x v="0"/>
  </r>
  <r>
    <x v="102"/>
    <n v="1150"/>
    <n v="1737"/>
    <x v="10"/>
    <n v="12.68"/>
    <x v="10"/>
    <n v="587"/>
    <x v="1"/>
    <x v="0"/>
  </r>
  <r>
    <x v="103"/>
    <n v="1190"/>
    <n v="1810"/>
    <x v="10"/>
    <n v="12.68"/>
    <x v="10"/>
    <n v="620"/>
    <x v="1"/>
    <x v="0"/>
  </r>
  <r>
    <x v="104"/>
    <n v="1658"/>
    <n v="1699"/>
    <x v="30"/>
    <n v="12.68"/>
    <x v="10"/>
    <n v="41"/>
    <x v="1"/>
    <x v="2"/>
  </r>
  <r>
    <x v="105"/>
    <n v="1768"/>
    <n v="1799"/>
    <x v="30"/>
    <n v="12.68"/>
    <x v="10"/>
    <n v="31"/>
    <x v="1"/>
    <x v="2"/>
  </r>
  <r>
    <x v="106"/>
    <n v="199"/>
    <n v="553"/>
    <x v="45"/>
    <n v="12.68"/>
    <x v="10"/>
    <n v="354"/>
    <x v="1"/>
    <x v="1"/>
  </r>
  <r>
    <x v="107"/>
    <n v="450"/>
    <n v="900"/>
    <x v="29"/>
    <n v="1"/>
    <x v="22"/>
    <n v="450"/>
    <x v="2"/>
    <x v="1"/>
  </r>
  <r>
    <x v="108"/>
    <n v="169"/>
    <n v="320"/>
    <x v="1"/>
    <n v="12.68"/>
    <x v="10"/>
    <n v="15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57998A-22F4-4AC7-A99E-EEC50E1FD9B1}"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 firstHeaderRow="0"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dataField="1" numFmtId="9" showAll="0">
      <items count="7">
        <item x="0"/>
        <item x="1"/>
        <item x="2"/>
        <item x="3"/>
        <item x="4"/>
        <item x="5"/>
        <item t="default"/>
      </items>
    </pivotField>
    <pivotField numFmtId="169" showAll="0"/>
    <pivotField dataField="1"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0"/>
  </rowFields>
  <rowItems count="15">
    <i>
      <x v="18"/>
    </i>
    <i>
      <x v="22"/>
    </i>
    <i>
      <x v="40"/>
    </i>
    <i>
      <x v="44"/>
    </i>
    <i>
      <x v="52"/>
    </i>
    <i>
      <x v="60"/>
    </i>
    <i>
      <x v="67"/>
    </i>
    <i>
      <x v="68"/>
    </i>
    <i>
      <x v="69"/>
    </i>
    <i>
      <x v="70"/>
    </i>
    <i>
      <x v="72"/>
    </i>
    <i>
      <x v="77"/>
    </i>
    <i>
      <x v="87"/>
    </i>
    <i>
      <x v="95"/>
    </i>
    <i t="grand">
      <x/>
    </i>
  </rowItems>
  <colFields count="1">
    <field x="-2"/>
  </colFields>
  <colItems count="2">
    <i>
      <x/>
    </i>
    <i i="1">
      <x v="1"/>
    </i>
  </colItems>
  <dataFields count="2">
    <dataField name="Average of Discount" fld="3" subtotal="average" baseField="0" baseItem="0" numFmtId="9"/>
    <dataField name="Average of Rating" fld="5"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9C9FE-1FB0-45E4-9BFA-AB2721DAC867}"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axis="axisRow" numFmtId="9" showAll="0">
      <items count="7">
        <item x="0"/>
        <item x="1"/>
        <item x="2"/>
        <item x="3"/>
        <item x="4"/>
        <item x="5"/>
        <item t="default"/>
      </items>
    </pivotField>
    <pivotField dataField="1" numFmtId="169" showAll="0"/>
    <pivotField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3"/>
  </rowFields>
  <rowItems count="2">
    <i>
      <x v="3"/>
    </i>
    <i t="grand">
      <x/>
    </i>
  </rowItems>
  <colItems count="1">
    <i/>
  </colItems>
  <dataFields count="1">
    <dataField name="Average of Reviews" fld="4" subtotal="average" baseField="3" baseItem="1" numFmtId="169"/>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FBF53-9D83-4EFA-9887-2FB8B28FE923}"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5"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items count="7">
        <item x="0"/>
        <item x="1"/>
        <item x="2"/>
        <item x="3"/>
        <item x="4"/>
        <item x="5"/>
        <item t="default"/>
      </items>
    </pivotField>
    <pivotField dataField="1" numFmtId="169" showAll="0"/>
    <pivotField dataField="1" numFmtId="169" showAll="0">
      <items count="6">
        <item x="0"/>
        <item x="1"/>
        <item x="2"/>
        <item x="3"/>
        <item x="4"/>
        <item t="default"/>
      </items>
    </pivotField>
    <pivotField numFmtId="1" showAll="0"/>
    <pivotField axis="axisRow" showAll="0">
      <items count="4">
        <item h="1" x="1"/>
        <item x="0"/>
        <item h="1" x="2"/>
        <item t="default"/>
      </items>
    </pivotField>
    <pivotField showAll="0">
      <items count="4">
        <item x="1"/>
        <item h="1" x="2"/>
        <item h="1" x="0"/>
        <item t="default"/>
      </items>
    </pivotField>
  </pivotFields>
  <rowFields count="1">
    <field x="7"/>
  </rowFields>
  <rowItems count="2">
    <i>
      <x v="1"/>
    </i>
    <i t="grand">
      <x/>
    </i>
  </rowItems>
  <colFields count="1">
    <field x="-2"/>
  </colFields>
  <colItems count="2">
    <i>
      <x/>
    </i>
    <i i="1">
      <x v="1"/>
    </i>
  </colItems>
  <dataFields count="2">
    <dataField name="Average of Rating" fld="5" subtotal="average" baseField="7" baseItem="0" numFmtId="169"/>
    <dataField name="Average of Reviews" fld="4" subtotal="average" baseField="7" baseItem="0" numFmtId="16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21B96D-D9D4-4BC2-B166-23DC6D391DED}"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numFmtId="169" showAll="0"/>
    <pivotField dataField="1"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0"/>
  </rowFields>
  <rowItems count="6">
    <i>
      <x v="40"/>
    </i>
    <i>
      <x v="44"/>
    </i>
    <i>
      <x v="52"/>
    </i>
    <i>
      <x v="68"/>
    </i>
    <i>
      <x v="87"/>
    </i>
    <i t="grand">
      <x/>
    </i>
  </rowItems>
  <colItems count="1">
    <i/>
  </colItems>
  <dataFields count="1">
    <dataField name="Average of Rating" fld="5" subtotal="average" baseField="0" baseItem="0" numFmtId="169"/>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F6AD6-B11C-4063-A92B-E8F4BF1A3DA9}"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9" showAll="0"/>
    <pivotField numFmtId="169" showAll="0"/>
    <pivotField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0"/>
  </rowFields>
  <rowItems count="12">
    <i>
      <x v="70"/>
    </i>
    <i>
      <x v="67"/>
    </i>
    <i>
      <x v="52"/>
    </i>
    <i>
      <x v="60"/>
    </i>
    <i>
      <x v="40"/>
    </i>
    <i>
      <x v="44"/>
    </i>
    <i>
      <x v="18"/>
    </i>
    <i>
      <x v="68"/>
    </i>
    <i>
      <x v="72"/>
    </i>
    <i>
      <x v="77"/>
    </i>
    <i>
      <x v="22"/>
    </i>
    <i t="grand">
      <x/>
    </i>
  </rowItems>
  <colItems count="1">
    <i/>
  </colItems>
  <dataFields count="1">
    <dataField name="Average of Discount" fld="3"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82910B-B0CC-4C75-9491-13CFA52D3398}"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numFmtId="169" showAll="0"/>
    <pivotField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A184F-1171-47E7-B8C1-E4432FEBDAE3}"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dataField="1" numFmtId="169" showAll="0"/>
    <pivotField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0"/>
  </rowFields>
  <rowItems count="11">
    <i>
      <x v="18"/>
    </i>
    <i>
      <x v="95"/>
    </i>
    <i>
      <x v="77"/>
    </i>
    <i>
      <x v="22"/>
    </i>
    <i>
      <x v="72"/>
    </i>
    <i>
      <x v="60"/>
    </i>
    <i>
      <x v="67"/>
    </i>
    <i>
      <x v="69"/>
    </i>
    <i>
      <x v="70"/>
    </i>
    <i>
      <x v="68"/>
    </i>
    <i t="grand">
      <x/>
    </i>
  </rowItems>
  <colItems count="1">
    <i/>
  </colItems>
  <dataFields count="1">
    <dataField name="Average of Reviews" fld="4" subtotal="average" baseField="0" baseItem="0" numFmtId="169"/>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0A4999-BCC2-43AA-B572-5E4290FC4943}"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dataField="1" numFmtId="169" showAll="0"/>
    <pivotField dataField="1" numFmtId="169" showAll="0">
      <items count="6">
        <item x="0"/>
        <item x="1"/>
        <item x="2"/>
        <item x="3"/>
        <item x="4"/>
        <item t="default"/>
      </items>
    </pivotField>
    <pivotField numFmtId="1" showAll="0"/>
    <pivotField showAll="0">
      <items count="4">
        <item h="1" x="1"/>
        <item x="0"/>
        <item h="1" x="2"/>
        <item t="default"/>
      </items>
    </pivotField>
    <pivotField axis="axisRow" showAll="0">
      <items count="4">
        <item x="1"/>
        <item h="1" x="2"/>
        <item h="1" x="0"/>
        <item t="default"/>
      </items>
    </pivotField>
  </pivotFields>
  <rowFields count="1">
    <field x="8"/>
  </rowFields>
  <rowItems count="2">
    <i>
      <x/>
    </i>
    <i t="grand">
      <x/>
    </i>
  </rowItems>
  <colFields count="1">
    <field x="-2"/>
  </colFields>
  <colItems count="2">
    <i>
      <x/>
    </i>
    <i i="1">
      <x v="1"/>
    </i>
  </colItems>
  <dataFields count="2">
    <dataField name="Count of Reviews" fld="4" subtotal="count" baseField="8" baseItem="1"/>
    <dataField name="Average of Rating" fld="5" subtotal="average" baseField="8" baseItem="0" numFmtId="16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3778F8-705E-460E-BF63-07C9075CED42}"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numFmtId="169" showAll="0"/>
    <pivotField numFmtId="169" showAll="0">
      <items count="6">
        <item x="0"/>
        <item x="1"/>
        <item x="2"/>
        <item x="3"/>
        <item x="4"/>
        <item t="default"/>
      </items>
    </pivotField>
    <pivotField numFmtId="1" showAll="0"/>
    <pivotField axis="axisRow" showAll="0">
      <items count="4">
        <item h="1" x="1"/>
        <item x="0"/>
        <item h="1" x="2"/>
        <item t="default"/>
      </items>
    </pivotField>
    <pivotField axis="axisCol" showAll="0">
      <items count="4">
        <item x="1"/>
        <item h="1" x="2"/>
        <item h="1" x="0"/>
        <item t="default"/>
      </items>
    </pivotField>
  </pivotFields>
  <rowFields count="1">
    <field x="7"/>
  </rowFields>
  <rowItems count="2">
    <i>
      <x v="1"/>
    </i>
    <i t="grand">
      <x/>
    </i>
  </rowItems>
  <colFields count="1">
    <field x="8"/>
  </colFields>
  <colItems count="2">
    <i>
      <x/>
    </i>
    <i t="grand">
      <x/>
    </i>
  </colItems>
  <dataFields count="1">
    <dataField name="Count of Product" fld="0"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6" format="6" series="1">
      <pivotArea type="data" outline="0" fieldPosition="0">
        <references count="2">
          <reference field="4294967294" count="1" selected="0">
            <x v="0"/>
          </reference>
          <reference field="8" count="1" selected="0">
            <x v="0"/>
          </reference>
        </references>
      </pivotArea>
    </chartFormat>
    <chartFormat chart="6" format="7" series="1">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AC3CF0-9CD2-4E0A-8EB2-6C8DF70F68FE}"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numFmtId="169" showAll="0"/>
    <pivotField dataField="1" numFmtId="169" showAll="0">
      <items count="6">
        <item x="0"/>
        <item x="1"/>
        <item x="2"/>
        <item x="3"/>
        <item x="4"/>
        <item t="default"/>
      </items>
    </pivotField>
    <pivotField numFmtId="1" showAll="0"/>
    <pivotField showAll="0">
      <items count="4">
        <item h="1" x="1"/>
        <item x="0"/>
        <item h="1" x="2"/>
        <item t="default"/>
      </items>
    </pivotField>
    <pivotField showAll="0">
      <items count="4">
        <item x="1"/>
        <item h="1" x="2"/>
        <item h="1" x="0"/>
        <item t="default"/>
      </items>
    </pivotField>
  </pivotFields>
  <rowFields count="1">
    <field x="0"/>
  </rowFields>
  <rowItems count="14">
    <i>
      <x v="87"/>
    </i>
    <i>
      <x v="44"/>
    </i>
    <i>
      <x v="68"/>
    </i>
    <i>
      <x v="40"/>
    </i>
    <i>
      <x v="52"/>
    </i>
    <i>
      <x v="70"/>
    </i>
    <i>
      <x v="22"/>
    </i>
    <i>
      <x v="18"/>
    </i>
    <i>
      <x v="69"/>
    </i>
    <i>
      <x v="72"/>
    </i>
    <i>
      <x v="95"/>
    </i>
    <i>
      <x v="60"/>
    </i>
    <i>
      <x v="67"/>
    </i>
    <i t="grand">
      <x/>
    </i>
  </rowItems>
  <colItems count="1">
    <i/>
  </colItems>
  <dataFields count="1">
    <dataField name="Average of Rating" fld="5" subtotal="average" baseField="0" baseItem="0" numFmtId="169"/>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B97E49-D61C-453E-A928-CB761C608A9D}"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9">
    <pivotField showAll="0"/>
    <pivotField dataField="1" numFmtId="1" showAll="0"/>
    <pivotField numFmtId="1" showAll="0"/>
    <pivotField numFmtId="9" showAll="0"/>
    <pivotField numFmtId="169" showAll="0"/>
    <pivotField numFmtId="169" showAll="0"/>
    <pivotField numFmtId="1" showAll="0"/>
    <pivotField axis="axisRow" showAll="0">
      <items count="4">
        <item h="1" x="1"/>
        <item x="0"/>
        <item h="1" x="2"/>
        <item t="default"/>
      </items>
    </pivotField>
    <pivotField showAll="0"/>
  </pivotFields>
  <rowFields count="1">
    <field x="7"/>
  </rowFields>
  <rowItems count="2">
    <i>
      <x v="1"/>
    </i>
    <i t="grand">
      <x/>
    </i>
  </rowItems>
  <colItems count="1">
    <i/>
  </colItems>
  <dataFields count="1">
    <dataField name="Average of Current price" fld="1" subtotal="average" baseField="7" baseItem="0" numFmtId="1"/>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51E9794-227C-4CF9-BC9E-853FAEB10A24}" sourceName="Discount Category">
  <pivotTables>
    <pivotTable tabId="11" name="PivotTable9"/>
    <pivotTable tabId="2" name="PivotTable1"/>
    <pivotTable tabId="3" name="PivotTable2"/>
    <pivotTable tabId="9" name="PivotTable8"/>
    <pivotTable tabId="6" name="PivotTable5"/>
    <pivotTable tabId="4" name="PivotTable3"/>
    <pivotTable tabId="8" name="PivotTable7"/>
    <pivotTable tabId="12" name="PivotTable10"/>
    <pivotTable tabId="5" name="PivotTable4"/>
    <pivotTable tabId="7" name="PivotTable6"/>
  </pivotTables>
  <data>
    <tabular pivotCacheId="1683627657">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133D3E5-8626-4EA3-839D-213FDE22B727}" sourceName="Product">
  <pivotTables>
    <pivotTable tabId="11" name="PivotTable9"/>
    <pivotTable tabId="2" name="PivotTable1"/>
    <pivotTable tabId="3" name="PivotTable2"/>
    <pivotTable tabId="9" name="PivotTable8"/>
    <pivotTable tabId="6" name="PivotTable5"/>
    <pivotTable tabId="4" name="PivotTable3"/>
    <pivotTable tabId="8" name="PivotTable7"/>
    <pivotTable tabId="12" name="PivotTable10"/>
    <pivotTable tabId="5" name="PivotTable4"/>
    <pivotTable tabId="7" name="PivotTable6"/>
  </pivotTables>
  <data>
    <tabular pivotCacheId="1683627657">
      <items count="109">
        <i x="19" s="1"/>
        <i x="12" s="1"/>
        <i x="15" s="1"/>
        <i x="78" s="1"/>
        <i x="36" s="1"/>
        <i x="30" s="1"/>
        <i x="24" s="1"/>
        <i x="17" s="1"/>
        <i x="13" s="1"/>
        <i x="8" s="1"/>
        <i x="32" s="1"/>
        <i x="1" s="1"/>
        <i x="16" s="1"/>
        <i x="37" s="1"/>
        <i x="38" s="1" nd="1"/>
        <i x="11" s="1" nd="1"/>
        <i x="0" s="1" nd="1"/>
        <i x="27" s="1" nd="1"/>
        <i x="31" s="1" nd="1"/>
        <i x="61" s="1" nd="1"/>
        <i x="57" s="1" nd="1"/>
        <i x="9" s="1" nd="1"/>
        <i x="6" s="1" nd="1"/>
        <i x="101" s="1" nd="1"/>
        <i x="80" s="1" nd="1"/>
        <i x="5" s="1" nd="1"/>
        <i x="100" s="1" nd="1"/>
        <i x="91" s="1" nd="1"/>
        <i x="47" s="1" nd="1"/>
        <i x="73" s="1" nd="1"/>
        <i x="66" s="1" nd="1"/>
        <i x="65" s="1" nd="1"/>
        <i x="74" s="1" nd="1"/>
        <i x="20" s="1" nd="1"/>
        <i x="94" s="1" nd="1"/>
        <i x="40" s="1" nd="1"/>
        <i x="21" s="1" nd="1"/>
        <i x="58" s="1" nd="1"/>
        <i x="28" s="1" nd="1"/>
        <i x="34" s="1" nd="1"/>
        <i x="33" s="1" nd="1"/>
        <i x="79" s="1" nd="1"/>
        <i x="60" s="1" nd="1"/>
        <i x="106" s="1" nd="1"/>
        <i x="90" s="1" nd="1"/>
        <i x="45" s="1" nd="1"/>
        <i x="76" s="1" nd="1"/>
        <i x="71" s="1" nd="1"/>
        <i x="97" s="1" nd="1"/>
        <i x="99" s="1" nd="1"/>
        <i x="67" s="1" nd="1"/>
        <i x="56" s="1" nd="1"/>
        <i x="64" s="1" nd="1"/>
        <i x="96" s="1" nd="1"/>
        <i x="42" s="1" nd="1"/>
        <i x="108" s="1" nd="1"/>
        <i x="49" s="1" nd="1"/>
        <i x="46" s="1" nd="1"/>
        <i x="83" s="1" nd="1"/>
        <i x="103" s="1" nd="1"/>
        <i x="44" s="1" nd="1"/>
        <i x="55" s="1" nd="1"/>
        <i x="48" s="1" nd="1"/>
        <i x="75" s="1" nd="1"/>
        <i x="53" s="1" nd="1"/>
        <i x="7" s="1" nd="1"/>
        <i x="35" s="1" nd="1"/>
        <i x="72" s="1" nd="1"/>
        <i x="25" s="1" nd="1"/>
        <i x="23" s="1" nd="1"/>
        <i x="10" s="1" nd="1"/>
        <i x="81" s="1" nd="1"/>
        <i x="62" s="1" nd="1"/>
        <i x="98" s="1" nd="1"/>
        <i x="68" s="1" nd="1"/>
        <i x="39" s="1" nd="1"/>
        <i x="22" s="1" nd="1"/>
        <i x="102" s="1" nd="1"/>
        <i x="18" s="1" nd="1"/>
        <i x="77" s="1" nd="1"/>
        <i x="95" s="1" nd="1"/>
        <i x="41" s="1" nd="1"/>
        <i x="14" s="1" nd="1"/>
        <i x="86" s="1" nd="1"/>
        <i x="29" s="1" nd="1"/>
        <i x="52" s="1" nd="1"/>
        <i x="59" s="1" nd="1"/>
        <i x="82" s="1" nd="1"/>
        <i x="84" s="1" nd="1"/>
        <i x="50" s="1" nd="1"/>
        <i x="51" s="1" nd="1"/>
        <i x="4" s="1" nd="1"/>
        <i x="2" s="1" nd="1"/>
        <i x="93" s="1" nd="1"/>
        <i x="26" s="1" nd="1"/>
        <i x="88" s="1" nd="1"/>
        <i x="89" s="1" nd="1"/>
        <i x="43" s="1" nd="1"/>
        <i x="104" s="1" nd="1"/>
        <i x="54" s="1" nd="1"/>
        <i x="105" s="1" nd="1"/>
        <i x="63" s="1" nd="1"/>
        <i x="87" s="1" nd="1"/>
        <i x="92" s="1" nd="1"/>
        <i x="107" s="1" nd="1"/>
        <i x="85" s="1" nd="1"/>
        <i x="69" s="1" nd="1"/>
        <i x="3" s="1" nd="1"/>
        <i x="7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AF9C6A8-FA04-4962-BCD9-CEAC3CB051EE}" sourceName="Rating">
  <pivotTables>
    <pivotTable tabId="9" name="PivotTable8"/>
    <pivotTable tabId="2" name="PivotTable1"/>
    <pivotTable tabId="3" name="PivotTable2"/>
    <pivotTable tabId="11" name="PivotTable9"/>
    <pivotTable tabId="6" name="PivotTable5"/>
    <pivotTable tabId="4" name="PivotTable3"/>
    <pivotTable tabId="8" name="PivotTable7"/>
    <pivotTable tabId="12" name="PivotTable10"/>
    <pivotTable tabId="5" name="PivotTable4"/>
    <pivotTable tabId="7" name="PivotTable6"/>
  </pivotTables>
  <data>
    <tabular pivotCacheId="1683627657">
      <items count="5">
        <i x="3" s="1"/>
        <i x="0" s="1" nd="1"/>
        <i x="4" s="1" nd="1"/>
        <i x="1"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8EC4C1F-5893-47B6-BBA9-5CAAF787B1F6}" sourceName="Rating Category">
  <pivotTables>
    <pivotTable tabId="13" name="PivotTable11"/>
    <pivotTable tabId="2" name="PivotTable1"/>
    <pivotTable tabId="3" name="PivotTable2"/>
    <pivotTable tabId="9" name="PivotTable8"/>
    <pivotTable tabId="11" name="PivotTable9"/>
    <pivotTable tabId="6" name="PivotTable5"/>
    <pivotTable tabId="4" name="PivotTable3"/>
    <pivotTable tabId="8" name="PivotTable7"/>
    <pivotTable tabId="12" name="PivotTable10"/>
    <pivotTable tabId="5" name="PivotTable4"/>
    <pivotTable tabId="7" name="PivotTable6"/>
  </pivotTables>
  <data>
    <tabular pivotCacheId="1683627657">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7F7BE3CA-4FCE-4396-818E-6FE6C57C69FB}" cache="Slicer_Rating" caption="Rating"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C13F76BC-1598-42AA-90A7-0A488EACC57D}" cache="Slicer_Discount_Category" caption="Discount Category" rowHeight="251883"/>
  <slicer name="Product" xr10:uid="{B4C1617E-B7A3-4BE3-BBCA-B07FE552DAB4}" cache="Slicer_Product" caption="Produc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D4DED14C-32B4-4C9D-8CC5-3D448DAED2EF}" cache="Slicer_Rating_Category" caption="Rating Categor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7016F5FB-75E9-47FA-AE97-56646231FD10}" cache="Slicer_Discount_Category" caption="Discount Category" rowHeight="251883"/>
  <slicer name="Product 1" xr10:uid="{C1D3AC1D-CCFB-471C-91CB-B72D6F778233}" cache="Slicer_Product" caption="Product" rowHeight="251883"/>
  <slicer name="Rating 1" xr10:uid="{56EFA978-3DE5-4002-9F2F-67A2131C4D1A}" cache="Slicer_Rating" caption="Rating" rowHeight="251883"/>
  <slicer name="Rating Category 1" xr10:uid="{237CE7A4-215A-48C4-A600-2905DF1862A8}" cache="Slicer_Rating_Category" caption="Rating 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69BD-A5E2-428B-A1C0-7A71644D87FE}">
  <dimension ref="A3:C18"/>
  <sheetViews>
    <sheetView workbookViewId="0">
      <selection activeCell="A62" sqref="A62"/>
    </sheetView>
  </sheetViews>
  <sheetFormatPr defaultRowHeight="14.5" x14ac:dyDescent="0.35"/>
  <cols>
    <col min="1" max="1" width="65" bestFit="1" customWidth="1"/>
    <col min="2" max="2" width="17.453125" bestFit="1" customWidth="1"/>
    <col min="3" max="3" width="15.1796875" bestFit="1" customWidth="1"/>
  </cols>
  <sheetData>
    <row r="3" spans="1:3" x14ac:dyDescent="0.35">
      <c r="A3" s="20" t="s">
        <v>121</v>
      </c>
      <c r="B3" t="s">
        <v>123</v>
      </c>
      <c r="C3" t="s">
        <v>124</v>
      </c>
    </row>
    <row r="4" spans="1:3" x14ac:dyDescent="0.35">
      <c r="A4" s="21" t="s">
        <v>75</v>
      </c>
      <c r="B4" s="1">
        <v>0.49</v>
      </c>
      <c r="C4" s="6">
        <v>4.5999999999999996</v>
      </c>
    </row>
    <row r="5" spans="1:3" x14ac:dyDescent="0.35">
      <c r="A5" s="21" t="s">
        <v>71</v>
      </c>
      <c r="B5" s="1">
        <v>0.47</v>
      </c>
      <c r="C5" s="6">
        <v>4.8</v>
      </c>
    </row>
    <row r="6" spans="1:3" x14ac:dyDescent="0.35">
      <c r="A6" s="21" t="s">
        <v>13</v>
      </c>
      <c r="B6" s="1">
        <v>0.51</v>
      </c>
      <c r="C6" s="6">
        <v>5</v>
      </c>
    </row>
    <row r="7" spans="1:3" x14ac:dyDescent="0.35">
      <c r="A7" s="21" t="s">
        <v>44</v>
      </c>
      <c r="B7" s="1">
        <v>0.49</v>
      </c>
      <c r="C7" s="6">
        <v>5</v>
      </c>
    </row>
    <row r="8" spans="1:3" x14ac:dyDescent="0.35">
      <c r="A8" s="21" t="s">
        <v>24</v>
      </c>
      <c r="B8" s="1">
        <v>0.53</v>
      </c>
      <c r="C8" s="6">
        <v>5</v>
      </c>
    </row>
    <row r="9" spans="1:3" x14ac:dyDescent="0.35">
      <c r="A9" s="21" t="s">
        <v>20</v>
      </c>
      <c r="B9" s="1">
        <v>0.52</v>
      </c>
      <c r="C9" s="6">
        <v>4.3</v>
      </c>
    </row>
    <row r="10" spans="1:3" x14ac:dyDescent="0.35">
      <c r="A10" s="21" t="s">
        <v>79</v>
      </c>
      <c r="B10" s="1">
        <v>0.54</v>
      </c>
      <c r="C10" s="6">
        <v>4.3</v>
      </c>
    </row>
    <row r="11" spans="1:3" x14ac:dyDescent="0.35">
      <c r="A11" s="21" t="s">
        <v>73</v>
      </c>
      <c r="B11" s="1">
        <v>0.49</v>
      </c>
      <c r="C11" s="6">
        <v>5</v>
      </c>
    </row>
    <row r="12" spans="1:3" x14ac:dyDescent="0.35">
      <c r="A12" s="21" t="s">
        <v>72</v>
      </c>
      <c r="B12" s="1">
        <v>0.42</v>
      </c>
      <c r="C12" s="6">
        <v>4.5</v>
      </c>
    </row>
    <row r="13" spans="1:3" x14ac:dyDescent="0.35">
      <c r="A13" s="21" t="s">
        <v>69</v>
      </c>
      <c r="B13" s="1">
        <v>0.55000000000000004</v>
      </c>
      <c r="C13" s="6">
        <v>4.8</v>
      </c>
    </row>
    <row r="14" spans="1:3" x14ac:dyDescent="0.35">
      <c r="A14" s="21" t="s">
        <v>81</v>
      </c>
      <c r="B14" s="1">
        <v>0.48</v>
      </c>
      <c r="C14" s="6">
        <v>4.3</v>
      </c>
    </row>
    <row r="15" spans="1:3" x14ac:dyDescent="0.35">
      <c r="A15" s="21" t="s">
        <v>5</v>
      </c>
      <c r="B15" s="1">
        <v>0.47</v>
      </c>
      <c r="C15" s="6">
        <v>4.0999999999999996</v>
      </c>
    </row>
    <row r="16" spans="1:3" x14ac:dyDescent="0.35">
      <c r="A16" s="21" t="s">
        <v>14</v>
      </c>
      <c r="B16" s="1">
        <v>0.46</v>
      </c>
      <c r="C16" s="6">
        <v>5</v>
      </c>
    </row>
    <row r="17" spans="1:3" x14ac:dyDescent="0.35">
      <c r="A17" s="21" t="s">
        <v>83</v>
      </c>
      <c r="B17" s="1">
        <v>0.41</v>
      </c>
      <c r="C17" s="6">
        <v>4.3</v>
      </c>
    </row>
    <row r="18" spans="1:3" x14ac:dyDescent="0.35">
      <c r="A18" s="21" t="s">
        <v>122</v>
      </c>
      <c r="B18" s="1">
        <v>0.48785714285714288</v>
      </c>
      <c r="C18" s="6">
        <v>4.6428571428571432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17D9-D3B0-4916-A0CA-D55EA9ED4AB0}">
  <dimension ref="A3:B21"/>
  <sheetViews>
    <sheetView workbookViewId="0">
      <selection activeCell="B5" sqref="B5"/>
    </sheetView>
  </sheetViews>
  <sheetFormatPr defaultRowHeight="14.5" x14ac:dyDescent="0.35"/>
  <cols>
    <col min="1" max="1" width="12.453125" bestFit="1" customWidth="1"/>
    <col min="2" max="2" width="16.7265625" bestFit="1" customWidth="1"/>
    <col min="3" max="3" width="17.453125" bestFit="1" customWidth="1"/>
  </cols>
  <sheetData>
    <row r="3" spans="1:2" x14ac:dyDescent="0.35">
      <c r="A3" s="20" t="s">
        <v>121</v>
      </c>
      <c r="B3" t="s">
        <v>129</v>
      </c>
    </row>
    <row r="4" spans="1:2" x14ac:dyDescent="0.35">
      <c r="A4" s="22" t="s">
        <v>128</v>
      </c>
      <c r="B4" s="6">
        <v>10.857142857142858</v>
      </c>
    </row>
    <row r="5" spans="1:2" x14ac:dyDescent="0.35">
      <c r="A5" s="22" t="s">
        <v>122</v>
      </c>
      <c r="B5" s="6">
        <v>10.857142857142858</v>
      </c>
    </row>
    <row r="20" spans="1:1" x14ac:dyDescent="0.35">
      <c r="A20" s="2" t="s">
        <v>131</v>
      </c>
    </row>
    <row r="21" spans="1:1" x14ac:dyDescent="0.35">
      <c r="A21" t="s">
        <v>130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7A8B7-0E6A-46D6-B0A5-13200B586DAF}">
  <dimension ref="A3:C5"/>
  <sheetViews>
    <sheetView workbookViewId="0">
      <selection activeCell="C6" sqref="C6"/>
    </sheetView>
  </sheetViews>
  <sheetFormatPr defaultRowHeight="14.5" x14ac:dyDescent="0.35"/>
  <cols>
    <col min="1" max="1" width="12.453125" bestFit="1" customWidth="1"/>
    <col min="2" max="2" width="15.1796875" bestFit="1" customWidth="1"/>
    <col min="3" max="4" width="16.7265625" bestFit="1" customWidth="1"/>
  </cols>
  <sheetData>
    <row r="3" spans="1:3" x14ac:dyDescent="0.35">
      <c r="A3" s="20" t="s">
        <v>121</v>
      </c>
      <c r="B3" t="s">
        <v>124</v>
      </c>
      <c r="C3" t="s">
        <v>129</v>
      </c>
    </row>
    <row r="4" spans="1:3" x14ac:dyDescent="0.35">
      <c r="A4" s="21" t="s">
        <v>127</v>
      </c>
      <c r="B4" s="6">
        <v>4.6428571428571432</v>
      </c>
      <c r="C4" s="6">
        <v>10.857142857142858</v>
      </c>
    </row>
    <row r="5" spans="1:3" x14ac:dyDescent="0.35">
      <c r="A5" s="21" t="s">
        <v>122</v>
      </c>
      <c r="B5" s="6">
        <v>4.6428571428571432</v>
      </c>
      <c r="C5" s="6">
        <v>10.857142857142858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A862-2BA8-46AB-9499-60618DE75453}">
  <dimension ref="A2:B116"/>
  <sheetViews>
    <sheetView workbookViewId="0">
      <selection activeCell="A14" sqref="A14"/>
    </sheetView>
  </sheetViews>
  <sheetFormatPr defaultRowHeight="14.5" x14ac:dyDescent="0.35"/>
  <cols>
    <col min="1" max="1" width="60.1796875" bestFit="1" customWidth="1"/>
    <col min="2" max="2" width="15.1796875" bestFit="1" customWidth="1"/>
  </cols>
  <sheetData>
    <row r="2" spans="1:2" x14ac:dyDescent="0.35">
      <c r="A2" s="2" t="s">
        <v>135</v>
      </c>
    </row>
    <row r="3" spans="1:2" x14ac:dyDescent="0.35">
      <c r="A3" s="20" t="s">
        <v>121</v>
      </c>
      <c r="B3" t="s">
        <v>124</v>
      </c>
    </row>
    <row r="4" spans="1:2" x14ac:dyDescent="0.35">
      <c r="A4" s="21" t="s">
        <v>13</v>
      </c>
      <c r="B4" s="6">
        <v>5</v>
      </c>
    </row>
    <row r="5" spans="1:2" x14ac:dyDescent="0.35">
      <c r="A5" s="21" t="s">
        <v>44</v>
      </c>
      <c r="B5" s="6">
        <v>5</v>
      </c>
    </row>
    <row r="6" spans="1:2" x14ac:dyDescent="0.35">
      <c r="A6" s="21" t="s">
        <v>24</v>
      </c>
      <c r="B6" s="6">
        <v>5</v>
      </c>
    </row>
    <row r="7" spans="1:2" x14ac:dyDescent="0.35">
      <c r="A7" s="21" t="s">
        <v>73</v>
      </c>
      <c r="B7" s="6">
        <v>5</v>
      </c>
    </row>
    <row r="8" spans="1:2" x14ac:dyDescent="0.35">
      <c r="A8" s="21" t="s">
        <v>14</v>
      </c>
      <c r="B8" s="6">
        <v>5</v>
      </c>
    </row>
    <row r="9" spans="1:2" x14ac:dyDescent="0.35">
      <c r="A9" s="21" t="s">
        <v>122</v>
      </c>
      <c r="B9" s="6">
        <v>5</v>
      </c>
    </row>
    <row r="116" spans="1:1" x14ac:dyDescent="0.35">
      <c r="A116" t="s">
        <v>133</v>
      </c>
    </row>
  </sheetData>
  <conditionalFormatting sqref="A61:B112 A4:A60">
    <cfRule type="top10" dxfId="6" priority="1" bottom="1" rank="5"/>
    <cfRule type="top10" dxfId="5" priority="2"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41A33-2D55-45BF-9DE8-AC01030D4384}">
  <dimension ref="A2:B15"/>
  <sheetViews>
    <sheetView workbookViewId="0">
      <selection activeCell="D13" sqref="D13"/>
    </sheetView>
  </sheetViews>
  <sheetFormatPr defaultRowHeight="14.5" x14ac:dyDescent="0.35"/>
  <cols>
    <col min="1" max="1" width="65" bestFit="1" customWidth="1"/>
    <col min="2" max="2" width="17.453125" bestFit="1" customWidth="1"/>
  </cols>
  <sheetData>
    <row r="2" spans="1:2" x14ac:dyDescent="0.35">
      <c r="A2" t="s">
        <v>134</v>
      </c>
    </row>
    <row r="3" spans="1:2" x14ac:dyDescent="0.35">
      <c r="A3" s="20" t="s">
        <v>121</v>
      </c>
      <c r="B3" t="s">
        <v>123</v>
      </c>
    </row>
    <row r="4" spans="1:2" x14ac:dyDescent="0.35">
      <c r="A4" s="21" t="s">
        <v>69</v>
      </c>
      <c r="B4" s="1">
        <v>0.55000000000000004</v>
      </c>
    </row>
    <row r="5" spans="1:2" x14ac:dyDescent="0.35">
      <c r="A5" s="21" t="s">
        <v>79</v>
      </c>
      <c r="B5" s="1">
        <v>0.54</v>
      </c>
    </row>
    <row r="6" spans="1:2" x14ac:dyDescent="0.35">
      <c r="A6" s="21" t="s">
        <v>24</v>
      </c>
      <c r="B6" s="1">
        <v>0.53</v>
      </c>
    </row>
    <row r="7" spans="1:2" x14ac:dyDescent="0.35">
      <c r="A7" s="21" t="s">
        <v>20</v>
      </c>
      <c r="B7" s="1">
        <v>0.52</v>
      </c>
    </row>
    <row r="8" spans="1:2" x14ac:dyDescent="0.35">
      <c r="A8" s="21" t="s">
        <v>13</v>
      </c>
      <c r="B8" s="1">
        <v>0.51</v>
      </c>
    </row>
    <row r="9" spans="1:2" x14ac:dyDescent="0.35">
      <c r="A9" s="21" t="s">
        <v>44</v>
      </c>
      <c r="B9" s="1">
        <v>0.49</v>
      </c>
    </row>
    <row r="10" spans="1:2" x14ac:dyDescent="0.35">
      <c r="A10" s="21" t="s">
        <v>75</v>
      </c>
      <c r="B10" s="1">
        <v>0.49</v>
      </c>
    </row>
    <row r="11" spans="1:2" x14ac:dyDescent="0.35">
      <c r="A11" s="21" t="s">
        <v>73</v>
      </c>
      <c r="B11" s="1">
        <v>0.49</v>
      </c>
    </row>
    <row r="12" spans="1:2" x14ac:dyDescent="0.35">
      <c r="A12" s="21" t="s">
        <v>81</v>
      </c>
      <c r="B12" s="1">
        <v>0.48</v>
      </c>
    </row>
    <row r="13" spans="1:2" x14ac:dyDescent="0.35">
      <c r="A13" s="21" t="s">
        <v>5</v>
      </c>
      <c r="B13" s="1">
        <v>0.47</v>
      </c>
    </row>
    <row r="14" spans="1:2" x14ac:dyDescent="0.35">
      <c r="A14" s="21" t="s">
        <v>71</v>
      </c>
      <c r="B14" s="1">
        <v>0.47</v>
      </c>
    </row>
    <row r="15" spans="1:2" x14ac:dyDescent="0.35">
      <c r="A15" s="21" t="s">
        <v>122</v>
      </c>
      <c r="B15" s="1">
        <v>0.50363636363636366</v>
      </c>
    </row>
  </sheetData>
  <conditionalFormatting sqref="A19:B112 A4:A18">
    <cfRule type="top10" dxfId="4" priority="2" rank="10"/>
  </conditionalFormatting>
  <conditionalFormatting sqref="A4:A112">
    <cfRule type="top10" dxfId="3" priority="1" rank="10"/>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7AA8-3176-4107-BE8E-C1554F269142}">
  <dimension ref="A3:C20"/>
  <sheetViews>
    <sheetView workbookViewId="0">
      <selection activeCell="A3" sqref="A3"/>
    </sheetView>
  </sheetViews>
  <sheetFormatPr defaultRowHeight="14.5" x14ac:dyDescent="0.35"/>
  <sheetData>
    <row r="3" spans="1:3" x14ac:dyDescent="0.35">
      <c r="A3" s="11"/>
      <c r="B3" s="12"/>
      <c r="C3" s="13"/>
    </row>
    <row r="4" spans="1:3" x14ac:dyDescent="0.35">
      <c r="A4" s="14"/>
      <c r="B4" s="15"/>
      <c r="C4" s="16"/>
    </row>
    <row r="5" spans="1:3" x14ac:dyDescent="0.35">
      <c r="A5" s="14"/>
      <c r="B5" s="15"/>
      <c r="C5" s="16"/>
    </row>
    <row r="6" spans="1:3" x14ac:dyDescent="0.35">
      <c r="A6" s="14"/>
      <c r="B6" s="15"/>
      <c r="C6" s="16"/>
    </row>
    <row r="7" spans="1:3" x14ac:dyDescent="0.35">
      <c r="A7" s="14"/>
      <c r="B7" s="15"/>
      <c r="C7" s="16"/>
    </row>
    <row r="8" spans="1:3" x14ac:dyDescent="0.35">
      <c r="A8" s="14"/>
      <c r="B8" s="15"/>
      <c r="C8" s="16"/>
    </row>
    <row r="9" spans="1:3" x14ac:dyDescent="0.35">
      <c r="A9" s="14"/>
      <c r="B9" s="15"/>
      <c r="C9" s="16"/>
    </row>
    <row r="10" spans="1:3" x14ac:dyDescent="0.35">
      <c r="A10" s="14"/>
      <c r="B10" s="15"/>
      <c r="C10" s="16"/>
    </row>
    <row r="11" spans="1:3" x14ac:dyDescent="0.35">
      <c r="A11" s="14"/>
      <c r="B11" s="15"/>
      <c r="C11" s="16"/>
    </row>
    <row r="12" spans="1:3" x14ac:dyDescent="0.35">
      <c r="A12" s="14"/>
      <c r="B12" s="15"/>
      <c r="C12" s="16"/>
    </row>
    <row r="13" spans="1:3" x14ac:dyDescent="0.35">
      <c r="A13" s="14"/>
      <c r="B13" s="15"/>
      <c r="C13" s="16"/>
    </row>
    <row r="14" spans="1:3" x14ac:dyDescent="0.35">
      <c r="A14" s="14"/>
      <c r="B14" s="15"/>
      <c r="C14" s="16"/>
    </row>
    <row r="15" spans="1:3" x14ac:dyDescent="0.35">
      <c r="A15" s="14"/>
      <c r="B15" s="15"/>
      <c r="C15" s="16"/>
    </row>
    <row r="16" spans="1:3" x14ac:dyDescent="0.35">
      <c r="A16" s="14"/>
      <c r="B16" s="15"/>
      <c r="C16" s="16"/>
    </row>
    <row r="17" spans="1:3" x14ac:dyDescent="0.35">
      <c r="A17" s="14"/>
      <c r="B17" s="15"/>
      <c r="C17" s="16"/>
    </row>
    <row r="18" spans="1:3" x14ac:dyDescent="0.35">
      <c r="A18" s="14"/>
      <c r="B18" s="15"/>
      <c r="C18" s="16"/>
    </row>
    <row r="19" spans="1:3" x14ac:dyDescent="0.35">
      <c r="A19" s="14"/>
      <c r="B19" s="15"/>
      <c r="C19" s="16"/>
    </row>
    <row r="20" spans="1:3" x14ac:dyDescent="0.35">
      <c r="A20" s="17"/>
      <c r="B20" s="18"/>
      <c r="C20"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D7E9-8839-4566-9EFB-BEA83CD41A6B}">
  <dimension ref="A3:B14"/>
  <sheetViews>
    <sheetView workbookViewId="0">
      <selection activeCell="A4" sqref="A4"/>
    </sheetView>
  </sheetViews>
  <sheetFormatPr defaultRowHeight="14.5" x14ac:dyDescent="0.35"/>
  <cols>
    <col min="1" max="1" width="65" bestFit="1" customWidth="1"/>
    <col min="2" max="2" width="16.7265625" bestFit="1" customWidth="1"/>
  </cols>
  <sheetData>
    <row r="3" spans="1:2" x14ac:dyDescent="0.35">
      <c r="A3" s="20" t="s">
        <v>121</v>
      </c>
      <c r="B3" t="s">
        <v>129</v>
      </c>
    </row>
    <row r="4" spans="1:2" x14ac:dyDescent="0.35">
      <c r="A4" s="21" t="s">
        <v>75</v>
      </c>
      <c r="B4" s="6">
        <v>44</v>
      </c>
    </row>
    <row r="5" spans="1:2" x14ac:dyDescent="0.35">
      <c r="A5" s="21" t="s">
        <v>83</v>
      </c>
      <c r="B5" s="6">
        <v>36</v>
      </c>
    </row>
    <row r="6" spans="1:2" x14ac:dyDescent="0.35">
      <c r="A6" s="21" t="s">
        <v>5</v>
      </c>
      <c r="B6" s="6">
        <v>14</v>
      </c>
    </row>
    <row r="7" spans="1:2" x14ac:dyDescent="0.35">
      <c r="A7" s="21" t="s">
        <v>71</v>
      </c>
      <c r="B7" s="6">
        <v>12</v>
      </c>
    </row>
    <row r="8" spans="1:2" x14ac:dyDescent="0.35">
      <c r="A8" s="21" t="s">
        <v>81</v>
      </c>
      <c r="B8" s="6">
        <v>9</v>
      </c>
    </row>
    <row r="9" spans="1:2" x14ac:dyDescent="0.35">
      <c r="A9" s="21" t="s">
        <v>20</v>
      </c>
      <c r="B9" s="6">
        <v>9</v>
      </c>
    </row>
    <row r="10" spans="1:2" x14ac:dyDescent="0.35">
      <c r="A10" s="21" t="s">
        <v>79</v>
      </c>
      <c r="B10" s="6">
        <v>7</v>
      </c>
    </row>
    <row r="11" spans="1:2" x14ac:dyDescent="0.35">
      <c r="A11" s="21" t="s">
        <v>72</v>
      </c>
      <c r="B11" s="6">
        <v>6</v>
      </c>
    </row>
    <row r="12" spans="1:2" x14ac:dyDescent="0.35">
      <c r="A12" s="21" t="s">
        <v>69</v>
      </c>
      <c r="B12" s="6">
        <v>5</v>
      </c>
    </row>
    <row r="13" spans="1:2" x14ac:dyDescent="0.35">
      <c r="A13" s="21" t="s">
        <v>73</v>
      </c>
      <c r="B13" s="6">
        <v>3</v>
      </c>
    </row>
    <row r="14" spans="1:2" x14ac:dyDescent="0.35">
      <c r="A14" s="21" t="s">
        <v>122</v>
      </c>
      <c r="B14" s="6">
        <v>14.5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8AD5-3D77-4C1A-A7F6-8FA8B5202221}">
  <dimension ref="A3:C5"/>
  <sheetViews>
    <sheetView workbookViewId="0">
      <selection activeCell="C6" sqref="C6"/>
    </sheetView>
  </sheetViews>
  <sheetFormatPr defaultRowHeight="14.5" x14ac:dyDescent="0.35"/>
  <cols>
    <col min="1" max="1" width="12.453125" bestFit="1" customWidth="1"/>
    <col min="2" max="2" width="15.26953125" bestFit="1" customWidth="1"/>
    <col min="3" max="3" width="15.1796875" bestFit="1" customWidth="1"/>
  </cols>
  <sheetData>
    <row r="3" spans="1:3" x14ac:dyDescent="0.35">
      <c r="A3" s="20" t="s">
        <v>121</v>
      </c>
      <c r="B3" t="s">
        <v>126</v>
      </c>
      <c r="C3" t="s">
        <v>124</v>
      </c>
    </row>
    <row r="4" spans="1:3" x14ac:dyDescent="0.35">
      <c r="A4" s="21" t="s">
        <v>125</v>
      </c>
      <c r="B4" s="3">
        <v>14</v>
      </c>
      <c r="C4" s="6">
        <v>4.6428571428571432</v>
      </c>
    </row>
    <row r="5" spans="1:3" x14ac:dyDescent="0.35">
      <c r="A5" s="21" t="s">
        <v>122</v>
      </c>
      <c r="B5" s="3">
        <v>14</v>
      </c>
      <c r="C5" s="6">
        <v>4.6428571428571432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6BFB-3F15-4C4B-8D0E-C1E0A06AC1DB}">
  <dimension ref="A3:C6"/>
  <sheetViews>
    <sheetView topLeftCell="A4" workbookViewId="0">
      <selection activeCell="D6" sqref="D6"/>
    </sheetView>
  </sheetViews>
  <sheetFormatPr defaultRowHeight="14.5" x14ac:dyDescent="0.35"/>
  <cols>
    <col min="1" max="1" width="14.90625" bestFit="1" customWidth="1"/>
    <col min="2" max="2" width="15.6328125" bestFit="1" customWidth="1"/>
    <col min="3" max="3" width="10.36328125" bestFit="1" customWidth="1"/>
    <col min="4" max="4" width="15.6328125" bestFit="1" customWidth="1"/>
    <col min="5" max="5" width="10.36328125" bestFit="1" customWidth="1"/>
  </cols>
  <sheetData>
    <row r="3" spans="1:3" x14ac:dyDescent="0.35">
      <c r="A3" s="20" t="s">
        <v>132</v>
      </c>
      <c r="B3" s="20" t="s">
        <v>136</v>
      </c>
    </row>
    <row r="4" spans="1:3" x14ac:dyDescent="0.35">
      <c r="A4" s="20" t="s">
        <v>121</v>
      </c>
      <c r="B4" t="s">
        <v>125</v>
      </c>
      <c r="C4" t="s">
        <v>122</v>
      </c>
    </row>
    <row r="5" spans="1:3" x14ac:dyDescent="0.35">
      <c r="A5" s="21" t="s">
        <v>127</v>
      </c>
      <c r="B5" s="3">
        <v>14</v>
      </c>
      <c r="C5" s="3">
        <v>14</v>
      </c>
    </row>
    <row r="6" spans="1:3" x14ac:dyDescent="0.35">
      <c r="A6" s="21" t="s">
        <v>122</v>
      </c>
      <c r="B6" s="3">
        <v>14</v>
      </c>
      <c r="C6" s="3">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7C0D-72CD-4306-9691-24F95A3B829A}">
  <dimension ref="A3:B17"/>
  <sheetViews>
    <sheetView workbookViewId="0">
      <selection activeCell="E14" sqref="E14"/>
    </sheetView>
  </sheetViews>
  <sheetFormatPr defaultRowHeight="14.5" x14ac:dyDescent="0.35"/>
  <cols>
    <col min="1" max="1" width="61.6328125" bestFit="1" customWidth="1"/>
    <col min="2" max="2" width="15.1796875" bestFit="1" customWidth="1"/>
  </cols>
  <sheetData>
    <row r="3" spans="1:2" x14ac:dyDescent="0.35">
      <c r="A3" s="20" t="s">
        <v>121</v>
      </c>
      <c r="B3" t="s">
        <v>124</v>
      </c>
    </row>
    <row r="4" spans="1:2" x14ac:dyDescent="0.35">
      <c r="A4" s="21" t="s">
        <v>14</v>
      </c>
      <c r="B4" s="6">
        <v>5</v>
      </c>
    </row>
    <row r="5" spans="1:2" x14ac:dyDescent="0.35">
      <c r="A5" s="21" t="s">
        <v>44</v>
      </c>
      <c r="B5" s="6">
        <v>5</v>
      </c>
    </row>
    <row r="6" spans="1:2" x14ac:dyDescent="0.35">
      <c r="A6" s="21" t="s">
        <v>73</v>
      </c>
      <c r="B6" s="6">
        <v>5</v>
      </c>
    </row>
    <row r="7" spans="1:2" x14ac:dyDescent="0.35">
      <c r="A7" s="21" t="s">
        <v>13</v>
      </c>
      <c r="B7" s="6">
        <v>5</v>
      </c>
    </row>
    <row r="8" spans="1:2" x14ac:dyDescent="0.35">
      <c r="A8" s="21" t="s">
        <v>24</v>
      </c>
      <c r="B8" s="6">
        <v>5</v>
      </c>
    </row>
    <row r="9" spans="1:2" x14ac:dyDescent="0.35">
      <c r="A9" s="21" t="s">
        <v>69</v>
      </c>
      <c r="B9" s="6">
        <v>4.8</v>
      </c>
    </row>
    <row r="10" spans="1:2" x14ac:dyDescent="0.35">
      <c r="A10" s="21" t="s">
        <v>71</v>
      </c>
      <c r="B10" s="6">
        <v>4.8</v>
      </c>
    </row>
    <row r="11" spans="1:2" x14ac:dyDescent="0.35">
      <c r="A11" s="21" t="s">
        <v>75</v>
      </c>
      <c r="B11" s="6">
        <v>4.5999999999999996</v>
      </c>
    </row>
    <row r="12" spans="1:2" x14ac:dyDescent="0.35">
      <c r="A12" s="21" t="s">
        <v>72</v>
      </c>
      <c r="B12" s="6">
        <v>4.5</v>
      </c>
    </row>
    <row r="13" spans="1:2" x14ac:dyDescent="0.35">
      <c r="A13" s="21" t="s">
        <v>81</v>
      </c>
      <c r="B13" s="6">
        <v>4.3</v>
      </c>
    </row>
    <row r="14" spans="1:2" x14ac:dyDescent="0.35">
      <c r="A14" s="21" t="s">
        <v>83</v>
      </c>
      <c r="B14" s="6">
        <v>4.3</v>
      </c>
    </row>
    <row r="15" spans="1:2" x14ac:dyDescent="0.35">
      <c r="A15" s="21" t="s">
        <v>20</v>
      </c>
      <c r="B15" s="6">
        <v>4.3</v>
      </c>
    </row>
    <row r="16" spans="1:2" x14ac:dyDescent="0.35">
      <c r="A16" s="21" t="s">
        <v>79</v>
      </c>
      <c r="B16" s="6">
        <v>4.3</v>
      </c>
    </row>
    <row r="17" spans="1:2" x14ac:dyDescent="0.35">
      <c r="A17" s="21" t="s">
        <v>122</v>
      </c>
      <c r="B17" s="6">
        <v>4.684615384615384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0FA3-B0FB-4B11-BD24-641596EC164B}">
  <dimension ref="A3:B5"/>
  <sheetViews>
    <sheetView workbookViewId="0">
      <selection activeCell="B4" sqref="B4"/>
    </sheetView>
  </sheetViews>
  <sheetFormatPr defaultRowHeight="14.5" x14ac:dyDescent="0.35"/>
  <cols>
    <col min="1" max="1" width="12.453125" bestFit="1" customWidth="1"/>
    <col min="2" max="3" width="20.90625" bestFit="1" customWidth="1"/>
  </cols>
  <sheetData>
    <row r="3" spans="1:2" x14ac:dyDescent="0.35">
      <c r="A3" s="20" t="s">
        <v>121</v>
      </c>
      <c r="B3" t="s">
        <v>139</v>
      </c>
    </row>
    <row r="4" spans="1:2" x14ac:dyDescent="0.35">
      <c r="A4" s="21" t="s">
        <v>127</v>
      </c>
      <c r="B4" s="8">
        <v>1345</v>
      </c>
    </row>
    <row r="5" spans="1:2" x14ac:dyDescent="0.35">
      <c r="A5" s="21" t="s">
        <v>122</v>
      </c>
      <c r="B5" s="8">
        <v>1345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8F1B-4768-4542-A1E9-0D8EDFC9BFB3}">
  <dimension ref="A1:L119"/>
  <sheetViews>
    <sheetView workbookViewId="0">
      <pane ySplit="1" topLeftCell="A2" activePane="bottomLeft" state="frozen"/>
      <selection pane="bottomLeft" activeCell="I2" sqref="I1:I2"/>
    </sheetView>
  </sheetViews>
  <sheetFormatPr defaultRowHeight="14.5" x14ac:dyDescent="0.35"/>
  <cols>
    <col min="1" max="1" width="86.1796875" style="10" customWidth="1"/>
    <col min="2" max="3" width="18.1796875" style="8" bestFit="1" customWidth="1"/>
    <col min="4" max="4" width="8.08984375" style="1" bestFit="1" customWidth="1"/>
    <col min="5" max="5" width="6.453125" style="6" bestFit="1" customWidth="1"/>
    <col min="6" max="6" width="9.6328125" style="6" bestFit="1" customWidth="1"/>
    <col min="7" max="7" width="17.26953125" style="8" customWidth="1"/>
    <col min="8" max="8" width="14.81640625" style="10" customWidth="1"/>
    <col min="9" max="9" width="16.36328125" style="10" customWidth="1"/>
    <col min="11" max="11" width="10.7265625" customWidth="1"/>
    <col min="12" max="12" width="13.1796875" customWidth="1"/>
  </cols>
  <sheetData>
    <row r="1" spans="1:9" x14ac:dyDescent="0.35">
      <c r="A1" s="9" t="s">
        <v>0</v>
      </c>
      <c r="B1" s="7" t="s">
        <v>1</v>
      </c>
      <c r="C1" s="7" t="s">
        <v>2</v>
      </c>
      <c r="D1" s="4" t="s">
        <v>3</v>
      </c>
      <c r="E1" s="5" t="s">
        <v>67</v>
      </c>
      <c r="F1" s="5" t="s">
        <v>63</v>
      </c>
      <c r="G1" s="7" t="s">
        <v>117</v>
      </c>
      <c r="H1" s="9" t="s">
        <v>118</v>
      </c>
      <c r="I1" s="9" t="s">
        <v>119</v>
      </c>
    </row>
    <row r="2" spans="1:9" x14ac:dyDescent="0.35">
      <c r="A2" s="10" t="s">
        <v>4</v>
      </c>
      <c r="B2" s="8">
        <v>950</v>
      </c>
      <c r="C2" s="8">
        <v>1525</v>
      </c>
      <c r="D2" s="1">
        <v>0.38</v>
      </c>
      <c r="E2" s="6">
        <v>2</v>
      </c>
      <c r="F2" s="6">
        <v>4.5</v>
      </c>
      <c r="G2" s="8">
        <f>C2-B2</f>
        <v>575</v>
      </c>
      <c r="H2" s="10" t="str">
        <f>IF(F2&lt;3, "Poor", IF(F2&lt;=4, "Average", "Excellent"))</f>
        <v>Excellent</v>
      </c>
      <c r="I2" s="10" t="str">
        <f>IF(D2&lt;20%, "Low Discount", IF(D2&lt;=40%, "Medium Discount", "High Discount"))</f>
        <v>Medium Discount</v>
      </c>
    </row>
    <row r="3" spans="1:9" x14ac:dyDescent="0.35">
      <c r="A3" s="10" t="s">
        <v>5</v>
      </c>
      <c r="B3" s="8">
        <v>527</v>
      </c>
      <c r="C3" s="8">
        <v>999</v>
      </c>
      <c r="D3" s="1">
        <v>0.47</v>
      </c>
      <c r="E3" s="6">
        <v>14</v>
      </c>
      <c r="F3" s="6">
        <v>4.0999999999999996</v>
      </c>
      <c r="G3" s="8">
        <f t="shared" ref="G3:G66" si="0">C3-B3</f>
        <v>472</v>
      </c>
      <c r="H3" s="10" t="str">
        <f t="shared" ref="H3:H66" si="1">IF(F3&lt;3, "Poor", IF(F3&lt;=4, "Average", "Excellent"))</f>
        <v>Excellent</v>
      </c>
      <c r="I3" s="10" t="str">
        <f>IF(D3&lt;20%, "Low Discount", IF(D3&lt;=40%, "Medium Discount", "High Discount"))</f>
        <v>High Discount</v>
      </c>
    </row>
    <row r="4" spans="1:9" x14ac:dyDescent="0.35">
      <c r="A4" s="10" t="s">
        <v>6</v>
      </c>
      <c r="B4" s="8">
        <v>2199</v>
      </c>
      <c r="C4" s="8">
        <v>2923</v>
      </c>
      <c r="D4" s="1">
        <v>0.25</v>
      </c>
      <c r="E4" s="6">
        <v>24</v>
      </c>
      <c r="F4" s="6">
        <v>4.5999999999999996</v>
      </c>
      <c r="G4" s="8">
        <f t="shared" si="0"/>
        <v>724</v>
      </c>
      <c r="H4" s="10" t="str">
        <f t="shared" si="1"/>
        <v>Excellent</v>
      </c>
      <c r="I4" s="10" t="str">
        <f t="shared" ref="I4:I67" si="2">IF(D4&lt;20%, "Low Discount", IF(D4&lt;=40%, "Medium Discount", "High Discount"))</f>
        <v>Medium Discount</v>
      </c>
    </row>
    <row r="5" spans="1:9" x14ac:dyDescent="0.35">
      <c r="A5" s="10" t="s">
        <v>68</v>
      </c>
      <c r="B5" s="8">
        <v>1580</v>
      </c>
      <c r="C5" s="8">
        <v>2499</v>
      </c>
      <c r="D5" s="1">
        <v>0.37</v>
      </c>
      <c r="E5" s="6">
        <v>7</v>
      </c>
      <c r="F5" s="6">
        <v>4.7</v>
      </c>
      <c r="G5" s="8">
        <f t="shared" si="0"/>
        <v>919</v>
      </c>
      <c r="H5" s="10" t="str">
        <f t="shared" si="1"/>
        <v>Excellent</v>
      </c>
      <c r="I5" s="10" t="str">
        <f t="shared" si="2"/>
        <v>Medium Discount</v>
      </c>
    </row>
    <row r="6" spans="1:9" x14ac:dyDescent="0.35">
      <c r="A6" s="10" t="s">
        <v>7</v>
      </c>
      <c r="B6" s="8">
        <v>1740</v>
      </c>
      <c r="C6" s="8">
        <v>2356</v>
      </c>
      <c r="D6" s="1">
        <v>0.26</v>
      </c>
      <c r="E6" s="6">
        <v>5</v>
      </c>
      <c r="F6" s="6">
        <v>4.8</v>
      </c>
      <c r="G6" s="8">
        <f t="shared" si="0"/>
        <v>616</v>
      </c>
      <c r="H6" s="10" t="str">
        <f t="shared" si="1"/>
        <v>Excellent</v>
      </c>
      <c r="I6" s="10" t="str">
        <f t="shared" si="2"/>
        <v>Medium Discount</v>
      </c>
    </row>
    <row r="7" spans="1:9" x14ac:dyDescent="0.35">
      <c r="A7" s="10" t="s">
        <v>66</v>
      </c>
      <c r="B7" s="8">
        <v>2999</v>
      </c>
      <c r="C7" s="8">
        <v>3290</v>
      </c>
      <c r="D7" s="1">
        <v>0.09</v>
      </c>
      <c r="E7" s="6">
        <v>15</v>
      </c>
      <c r="F7" s="6">
        <v>4</v>
      </c>
      <c r="G7" s="8">
        <f t="shared" si="0"/>
        <v>291</v>
      </c>
      <c r="H7" s="10" t="str">
        <f t="shared" si="1"/>
        <v>Average</v>
      </c>
      <c r="I7" s="10" t="str">
        <f t="shared" si="2"/>
        <v>Low Discount</v>
      </c>
    </row>
    <row r="8" spans="1:9" x14ac:dyDescent="0.35">
      <c r="A8" s="10" t="s">
        <v>8</v>
      </c>
      <c r="B8" s="8">
        <v>2319</v>
      </c>
      <c r="C8" s="8">
        <v>3032</v>
      </c>
      <c r="D8" s="1">
        <v>0.24</v>
      </c>
      <c r="E8" s="6">
        <v>55</v>
      </c>
      <c r="F8" s="6">
        <v>4.5999999999999996</v>
      </c>
      <c r="G8" s="8">
        <f t="shared" si="0"/>
        <v>713</v>
      </c>
      <c r="H8" s="10" t="str">
        <f t="shared" si="1"/>
        <v>Excellent</v>
      </c>
      <c r="I8" s="10" t="str">
        <f t="shared" si="2"/>
        <v>Medium Discount</v>
      </c>
    </row>
    <row r="9" spans="1:9" x14ac:dyDescent="0.35">
      <c r="A9" s="10" t="s">
        <v>9</v>
      </c>
      <c r="B9" s="8">
        <v>988</v>
      </c>
      <c r="C9" s="8">
        <v>1580</v>
      </c>
      <c r="D9" s="1">
        <v>0.37</v>
      </c>
      <c r="E9" s="6">
        <v>2</v>
      </c>
      <c r="F9" s="6">
        <v>4</v>
      </c>
      <c r="G9" s="8">
        <f t="shared" si="0"/>
        <v>592</v>
      </c>
      <c r="H9" s="10" t="str">
        <f t="shared" si="1"/>
        <v>Average</v>
      </c>
      <c r="I9" s="10" t="str">
        <f t="shared" si="2"/>
        <v>Medium Discount</v>
      </c>
    </row>
    <row r="10" spans="1:9" x14ac:dyDescent="0.35">
      <c r="A10" s="10" t="s">
        <v>69</v>
      </c>
      <c r="B10" s="8">
        <v>1274</v>
      </c>
      <c r="C10" s="8">
        <v>2800</v>
      </c>
      <c r="D10" s="1">
        <v>0.55000000000000004</v>
      </c>
      <c r="E10" s="6">
        <v>5</v>
      </c>
      <c r="F10" s="6">
        <v>4.8</v>
      </c>
      <c r="G10" s="8">
        <f t="shared" si="0"/>
        <v>1526</v>
      </c>
      <c r="H10" s="10" t="str">
        <f t="shared" si="1"/>
        <v>Excellent</v>
      </c>
      <c r="I10" s="10" t="str">
        <f t="shared" si="2"/>
        <v>High Discount</v>
      </c>
    </row>
    <row r="11" spans="1:9" x14ac:dyDescent="0.35">
      <c r="A11" s="10" t="s">
        <v>10</v>
      </c>
      <c r="B11" s="8">
        <v>1600</v>
      </c>
      <c r="C11" s="8">
        <v>2929</v>
      </c>
      <c r="D11" s="1">
        <v>0.45</v>
      </c>
      <c r="E11" s="6">
        <v>5</v>
      </c>
      <c r="F11" s="6">
        <v>3.8</v>
      </c>
      <c r="G11" s="8">
        <f t="shared" si="0"/>
        <v>1329</v>
      </c>
      <c r="H11" s="10" t="str">
        <f t="shared" si="1"/>
        <v>Average</v>
      </c>
      <c r="I11" s="10" t="str">
        <f t="shared" si="2"/>
        <v>High Discount</v>
      </c>
    </row>
    <row r="12" spans="1:9" x14ac:dyDescent="0.35">
      <c r="A12" s="10" t="s">
        <v>70</v>
      </c>
      <c r="B12" s="8">
        <v>799</v>
      </c>
      <c r="C12" s="8">
        <v>999</v>
      </c>
      <c r="D12" s="1">
        <v>0.2</v>
      </c>
      <c r="E12" s="6">
        <v>12</v>
      </c>
      <c r="F12" s="6">
        <v>4.0999999999999996</v>
      </c>
      <c r="G12" s="8">
        <f t="shared" si="0"/>
        <v>200</v>
      </c>
      <c r="H12" s="10" t="str">
        <f t="shared" si="1"/>
        <v>Excellent</v>
      </c>
      <c r="I12" s="10" t="str">
        <f t="shared" si="2"/>
        <v>Medium Discount</v>
      </c>
    </row>
    <row r="13" spans="1:9" x14ac:dyDescent="0.35">
      <c r="A13" s="10" t="s">
        <v>11</v>
      </c>
      <c r="B13" s="8">
        <v>990</v>
      </c>
      <c r="C13" s="8">
        <v>1500</v>
      </c>
      <c r="D13" s="1">
        <v>0.34</v>
      </c>
      <c r="E13" s="6">
        <v>39</v>
      </c>
      <c r="F13" s="6">
        <v>4.7</v>
      </c>
      <c r="G13" s="8">
        <f t="shared" si="0"/>
        <v>510</v>
      </c>
      <c r="H13" s="10" t="str">
        <f t="shared" si="1"/>
        <v>Excellent</v>
      </c>
      <c r="I13" s="10" t="str">
        <f t="shared" si="2"/>
        <v>Medium Discount</v>
      </c>
    </row>
    <row r="14" spans="1:9" x14ac:dyDescent="0.35">
      <c r="A14" s="10" t="s">
        <v>71</v>
      </c>
      <c r="B14" s="8">
        <v>552</v>
      </c>
      <c r="C14" s="8">
        <v>1035</v>
      </c>
      <c r="D14" s="1">
        <v>0.47</v>
      </c>
      <c r="E14" s="6">
        <v>12</v>
      </c>
      <c r="F14" s="6">
        <v>4.8</v>
      </c>
      <c r="G14" s="8">
        <f t="shared" si="0"/>
        <v>483</v>
      </c>
      <c r="H14" s="10" t="str">
        <f t="shared" si="1"/>
        <v>Excellent</v>
      </c>
      <c r="I14" s="10" t="str">
        <f t="shared" si="2"/>
        <v>High Discount</v>
      </c>
    </row>
    <row r="15" spans="1:9" x14ac:dyDescent="0.35">
      <c r="A15" s="10" t="s">
        <v>72</v>
      </c>
      <c r="B15" s="8">
        <v>501</v>
      </c>
      <c r="C15" s="8">
        <v>860</v>
      </c>
      <c r="D15" s="1">
        <v>0.42</v>
      </c>
      <c r="E15" s="6">
        <v>6</v>
      </c>
      <c r="F15" s="6">
        <v>4.5</v>
      </c>
      <c r="G15" s="8">
        <f t="shared" si="0"/>
        <v>359</v>
      </c>
      <c r="H15" s="10" t="str">
        <f t="shared" si="1"/>
        <v>Excellent</v>
      </c>
      <c r="I15" s="10" t="str">
        <f t="shared" si="2"/>
        <v>High Discount</v>
      </c>
    </row>
    <row r="16" spans="1:9" x14ac:dyDescent="0.35">
      <c r="A16" s="10" t="s">
        <v>12</v>
      </c>
      <c r="B16" s="8">
        <v>1680</v>
      </c>
      <c r="C16" s="8">
        <v>2499</v>
      </c>
      <c r="D16" s="1">
        <v>0.33</v>
      </c>
      <c r="E16" s="6">
        <v>9</v>
      </c>
      <c r="F16" s="6">
        <v>4.2</v>
      </c>
      <c r="G16" s="8">
        <f t="shared" si="0"/>
        <v>819</v>
      </c>
      <c r="H16" s="10" t="str">
        <f t="shared" si="1"/>
        <v>Excellent</v>
      </c>
      <c r="I16" s="10" t="str">
        <f t="shared" si="2"/>
        <v>Medium Discount</v>
      </c>
    </row>
    <row r="17" spans="1:9" x14ac:dyDescent="0.35">
      <c r="A17" s="10" t="s">
        <v>13</v>
      </c>
      <c r="B17" s="8">
        <v>332</v>
      </c>
      <c r="C17" s="8">
        <v>684</v>
      </c>
      <c r="D17" s="1">
        <v>0.51</v>
      </c>
      <c r="E17" s="6">
        <v>2</v>
      </c>
      <c r="F17" s="6">
        <v>5</v>
      </c>
      <c r="G17" s="8">
        <f t="shared" si="0"/>
        <v>352</v>
      </c>
      <c r="H17" s="10" t="str">
        <f t="shared" si="1"/>
        <v>Excellent</v>
      </c>
      <c r="I17" s="10" t="str">
        <f t="shared" si="2"/>
        <v>High Discount</v>
      </c>
    </row>
    <row r="18" spans="1:9" x14ac:dyDescent="0.35">
      <c r="A18" s="10" t="s">
        <v>14</v>
      </c>
      <c r="B18" s="8">
        <v>195</v>
      </c>
      <c r="C18" s="8">
        <v>360</v>
      </c>
      <c r="D18" s="1">
        <v>0.46</v>
      </c>
      <c r="E18" s="6">
        <v>2</v>
      </c>
      <c r="F18" s="6">
        <v>5</v>
      </c>
      <c r="G18" s="8">
        <f t="shared" si="0"/>
        <v>165</v>
      </c>
      <c r="H18" s="10" t="str">
        <f t="shared" si="1"/>
        <v>Excellent</v>
      </c>
      <c r="I18" s="10" t="str">
        <f t="shared" si="2"/>
        <v>High Discount</v>
      </c>
    </row>
    <row r="19" spans="1:9" x14ac:dyDescent="0.35">
      <c r="A19" s="10" t="s">
        <v>73</v>
      </c>
      <c r="B19" s="8">
        <v>2025</v>
      </c>
      <c r="C19" s="8">
        <v>3971</v>
      </c>
      <c r="D19" s="1">
        <v>0.49</v>
      </c>
      <c r="E19" s="6">
        <v>3</v>
      </c>
      <c r="F19" s="6">
        <v>5</v>
      </c>
      <c r="G19" s="8">
        <f t="shared" si="0"/>
        <v>1946</v>
      </c>
      <c r="H19" s="10" t="str">
        <f t="shared" si="1"/>
        <v>Excellent</v>
      </c>
      <c r="I19" s="10" t="str">
        <f t="shared" si="2"/>
        <v>High Discount</v>
      </c>
    </row>
    <row r="20" spans="1:9" x14ac:dyDescent="0.35">
      <c r="A20" s="10" t="s">
        <v>74</v>
      </c>
      <c r="B20" s="8">
        <v>2999</v>
      </c>
      <c r="C20" s="8">
        <v>3699</v>
      </c>
      <c r="D20" s="1">
        <v>0.19</v>
      </c>
      <c r="E20" s="6">
        <v>5</v>
      </c>
      <c r="F20" s="6">
        <v>4.5999999999999996</v>
      </c>
      <c r="G20" s="8">
        <f t="shared" si="0"/>
        <v>700</v>
      </c>
      <c r="H20" s="10" t="str">
        <f t="shared" si="1"/>
        <v>Excellent</v>
      </c>
      <c r="I20" s="10" t="str">
        <f t="shared" si="2"/>
        <v>Low Discount</v>
      </c>
    </row>
    <row r="21" spans="1:9" x14ac:dyDescent="0.35">
      <c r="A21" s="10" t="s">
        <v>75</v>
      </c>
      <c r="B21" s="8">
        <v>998</v>
      </c>
      <c r="C21" s="8">
        <v>1966</v>
      </c>
      <c r="D21" s="1">
        <v>0.49</v>
      </c>
      <c r="E21" s="6">
        <v>44</v>
      </c>
      <c r="F21" s="6">
        <v>4.5999999999999996</v>
      </c>
      <c r="G21" s="8">
        <f t="shared" si="0"/>
        <v>968</v>
      </c>
      <c r="H21" s="10" t="str">
        <f t="shared" si="1"/>
        <v>Excellent</v>
      </c>
      <c r="I21" s="10" t="str">
        <f t="shared" si="2"/>
        <v>High Discount</v>
      </c>
    </row>
    <row r="22" spans="1:9" x14ac:dyDescent="0.35">
      <c r="A22" s="10" t="s">
        <v>76</v>
      </c>
      <c r="B22" s="8">
        <v>38</v>
      </c>
      <c r="C22" s="8">
        <v>80</v>
      </c>
      <c r="D22" s="1">
        <v>0.53</v>
      </c>
      <c r="E22" s="6">
        <v>13</v>
      </c>
      <c r="F22" s="6">
        <v>3.3</v>
      </c>
      <c r="G22" s="8">
        <f t="shared" si="0"/>
        <v>42</v>
      </c>
      <c r="H22" s="10" t="str">
        <f t="shared" si="1"/>
        <v>Average</v>
      </c>
      <c r="I22" s="10" t="str">
        <f t="shared" si="2"/>
        <v>High Discount</v>
      </c>
    </row>
    <row r="23" spans="1:9" x14ac:dyDescent="0.35">
      <c r="A23" s="10" t="s">
        <v>77</v>
      </c>
      <c r="B23" s="8">
        <v>1860</v>
      </c>
      <c r="C23" s="8">
        <v>3220</v>
      </c>
      <c r="D23" s="1">
        <v>0.42</v>
      </c>
      <c r="E23" s="6">
        <v>12.68</v>
      </c>
      <c r="F23" s="6">
        <v>3.8894736999999999</v>
      </c>
      <c r="G23" s="8">
        <f t="shared" si="0"/>
        <v>1360</v>
      </c>
      <c r="H23" s="10" t="str">
        <f t="shared" si="1"/>
        <v>Average</v>
      </c>
      <c r="I23" s="10" t="str">
        <f t="shared" si="2"/>
        <v>High Discount</v>
      </c>
    </row>
    <row r="24" spans="1:9" x14ac:dyDescent="0.35">
      <c r="A24" s="10" t="s">
        <v>78</v>
      </c>
      <c r="B24" s="8">
        <v>880</v>
      </c>
      <c r="C24" s="8">
        <v>1350</v>
      </c>
      <c r="D24" s="1">
        <v>0.35</v>
      </c>
      <c r="E24" s="6">
        <v>6</v>
      </c>
      <c r="F24" s="6">
        <v>4</v>
      </c>
      <c r="G24" s="8">
        <f t="shared" si="0"/>
        <v>470</v>
      </c>
      <c r="H24" s="10" t="str">
        <f t="shared" si="1"/>
        <v>Average</v>
      </c>
      <c r="I24" s="10" t="str">
        <f t="shared" si="2"/>
        <v>Medium Discount</v>
      </c>
    </row>
    <row r="25" spans="1:9" x14ac:dyDescent="0.35">
      <c r="A25" s="10" t="s">
        <v>15</v>
      </c>
      <c r="B25" s="8">
        <v>1650</v>
      </c>
      <c r="C25" s="8">
        <v>2150</v>
      </c>
      <c r="D25" s="1">
        <v>0.23</v>
      </c>
      <c r="E25" s="6">
        <v>14</v>
      </c>
      <c r="F25" s="6">
        <v>4.4000000000000004</v>
      </c>
      <c r="G25" s="8">
        <f t="shared" si="0"/>
        <v>500</v>
      </c>
      <c r="H25" s="10" t="str">
        <f t="shared" si="1"/>
        <v>Excellent</v>
      </c>
      <c r="I25" s="10" t="str">
        <f t="shared" si="2"/>
        <v>Medium Discount</v>
      </c>
    </row>
    <row r="26" spans="1:9" x14ac:dyDescent="0.35">
      <c r="A26" s="10" t="s">
        <v>79</v>
      </c>
      <c r="B26" s="8">
        <v>2048</v>
      </c>
      <c r="C26" s="8">
        <v>4500</v>
      </c>
      <c r="D26" s="1">
        <v>0.54</v>
      </c>
      <c r="E26" s="6">
        <v>7</v>
      </c>
      <c r="F26" s="6">
        <v>4.3</v>
      </c>
      <c r="G26" s="8">
        <f t="shared" si="0"/>
        <v>2452</v>
      </c>
      <c r="H26" s="10" t="str">
        <f t="shared" si="1"/>
        <v>Excellent</v>
      </c>
      <c r="I26" s="10" t="str">
        <f t="shared" si="2"/>
        <v>High Discount</v>
      </c>
    </row>
    <row r="27" spans="1:9" x14ac:dyDescent="0.35">
      <c r="A27" s="10" t="s">
        <v>16</v>
      </c>
      <c r="B27" s="8">
        <v>420</v>
      </c>
      <c r="C27" s="8">
        <v>647</v>
      </c>
      <c r="D27" s="1">
        <v>0.35</v>
      </c>
      <c r="E27" s="6">
        <v>49</v>
      </c>
      <c r="F27" s="6">
        <v>4.5999999999999996</v>
      </c>
      <c r="G27" s="8">
        <f t="shared" si="0"/>
        <v>227</v>
      </c>
      <c r="H27" s="10" t="str">
        <f t="shared" si="1"/>
        <v>Excellent</v>
      </c>
      <c r="I27" s="10" t="str">
        <f t="shared" si="2"/>
        <v>Medium Discount</v>
      </c>
    </row>
    <row r="28" spans="1:9" x14ac:dyDescent="0.35">
      <c r="A28" s="10" t="s">
        <v>17</v>
      </c>
      <c r="B28" s="8">
        <v>2880</v>
      </c>
      <c r="C28" s="8">
        <v>3520</v>
      </c>
      <c r="D28" s="1">
        <v>0.18</v>
      </c>
      <c r="E28" s="6">
        <v>12</v>
      </c>
      <c r="F28" s="6">
        <v>3.8</v>
      </c>
      <c r="G28" s="8">
        <f t="shared" si="0"/>
        <v>640</v>
      </c>
      <c r="H28" s="10" t="str">
        <f t="shared" si="1"/>
        <v>Average</v>
      </c>
      <c r="I28" s="10" t="str">
        <f t="shared" si="2"/>
        <v>Low Discount</v>
      </c>
    </row>
    <row r="29" spans="1:9" x14ac:dyDescent="0.35">
      <c r="A29" s="10" t="s">
        <v>18</v>
      </c>
      <c r="B29" s="8">
        <v>1350</v>
      </c>
      <c r="C29" s="8">
        <v>1990</v>
      </c>
      <c r="D29" s="1">
        <v>0.32</v>
      </c>
      <c r="E29" s="6">
        <v>13</v>
      </c>
      <c r="F29" s="6">
        <v>3.8</v>
      </c>
      <c r="G29" s="8">
        <f t="shared" si="0"/>
        <v>640</v>
      </c>
      <c r="H29" s="10" t="str">
        <f t="shared" si="1"/>
        <v>Average</v>
      </c>
      <c r="I29" s="10" t="str">
        <f t="shared" si="2"/>
        <v>Medium Discount</v>
      </c>
    </row>
    <row r="30" spans="1:9" x14ac:dyDescent="0.35">
      <c r="A30" s="10" t="s">
        <v>19</v>
      </c>
      <c r="B30" s="8">
        <v>1758</v>
      </c>
      <c r="C30" s="8">
        <v>2499</v>
      </c>
      <c r="D30" s="1">
        <v>0.3</v>
      </c>
      <c r="E30" s="6">
        <v>20</v>
      </c>
      <c r="F30" s="6">
        <v>4.0999999999999996</v>
      </c>
      <c r="G30" s="8">
        <f t="shared" si="0"/>
        <v>741</v>
      </c>
      <c r="H30" s="10" t="str">
        <f t="shared" si="1"/>
        <v>Excellent</v>
      </c>
      <c r="I30" s="10" t="str">
        <f t="shared" si="2"/>
        <v>Medium Discount</v>
      </c>
    </row>
    <row r="31" spans="1:9" x14ac:dyDescent="0.35">
      <c r="A31" s="10" t="s">
        <v>80</v>
      </c>
      <c r="B31" s="8">
        <v>2200</v>
      </c>
      <c r="C31" s="8">
        <v>4080</v>
      </c>
      <c r="D31" s="1">
        <v>0.46</v>
      </c>
      <c r="E31" s="6">
        <v>12.68</v>
      </c>
      <c r="F31" s="6">
        <v>3.8894736999999999</v>
      </c>
      <c r="G31" s="8">
        <f t="shared" si="0"/>
        <v>1880</v>
      </c>
      <c r="H31" s="10" t="str">
        <f t="shared" si="1"/>
        <v>Average</v>
      </c>
      <c r="I31" s="10" t="str">
        <f t="shared" si="2"/>
        <v>High Discount</v>
      </c>
    </row>
    <row r="32" spans="1:9" x14ac:dyDescent="0.35">
      <c r="A32" s="10" t="s">
        <v>20</v>
      </c>
      <c r="B32" s="8">
        <v>185</v>
      </c>
      <c r="C32" s="8">
        <v>382</v>
      </c>
      <c r="D32" s="1">
        <v>0.52</v>
      </c>
      <c r="E32" s="6">
        <v>9</v>
      </c>
      <c r="F32" s="6">
        <v>4.3</v>
      </c>
      <c r="G32" s="8">
        <f t="shared" si="0"/>
        <v>197</v>
      </c>
      <c r="H32" s="10" t="str">
        <f t="shared" si="1"/>
        <v>Excellent</v>
      </c>
      <c r="I32" s="10" t="str">
        <f t="shared" si="2"/>
        <v>High Discount</v>
      </c>
    </row>
    <row r="33" spans="1:12" x14ac:dyDescent="0.35">
      <c r="A33" s="10" t="s">
        <v>21</v>
      </c>
      <c r="B33" s="8">
        <v>980</v>
      </c>
      <c r="C33" s="8">
        <v>1490</v>
      </c>
      <c r="D33" s="1">
        <v>0.34</v>
      </c>
      <c r="E33" s="6">
        <v>12</v>
      </c>
      <c r="F33" s="6">
        <v>4.7</v>
      </c>
      <c r="G33" s="8">
        <f t="shared" si="0"/>
        <v>510</v>
      </c>
      <c r="H33" s="10" t="str">
        <f t="shared" si="1"/>
        <v>Excellent</v>
      </c>
      <c r="I33" s="10" t="str">
        <f t="shared" si="2"/>
        <v>Medium Discount</v>
      </c>
    </row>
    <row r="34" spans="1:12" x14ac:dyDescent="0.35">
      <c r="A34" s="10" t="s">
        <v>81</v>
      </c>
      <c r="B34" s="8">
        <v>1820</v>
      </c>
      <c r="C34" s="8">
        <v>3490</v>
      </c>
      <c r="D34" s="1">
        <v>0.48</v>
      </c>
      <c r="E34" s="6">
        <v>9</v>
      </c>
      <c r="F34" s="6">
        <v>4.3</v>
      </c>
      <c r="G34" s="8">
        <f t="shared" si="0"/>
        <v>1670</v>
      </c>
      <c r="H34" s="10" t="str">
        <f t="shared" si="1"/>
        <v>Excellent</v>
      </c>
      <c r="I34" s="10" t="str">
        <f t="shared" si="2"/>
        <v>High Discount</v>
      </c>
    </row>
    <row r="35" spans="1:12" x14ac:dyDescent="0.35">
      <c r="A35" s="10" t="s">
        <v>22</v>
      </c>
      <c r="B35" s="8">
        <v>1940</v>
      </c>
      <c r="C35" s="8">
        <v>2650</v>
      </c>
      <c r="D35" s="1">
        <v>0.27</v>
      </c>
      <c r="E35" s="6">
        <v>20</v>
      </c>
      <c r="F35" s="6">
        <v>4.7</v>
      </c>
      <c r="G35" s="8">
        <f t="shared" si="0"/>
        <v>710</v>
      </c>
      <c r="H35" s="10" t="str">
        <f t="shared" si="1"/>
        <v>Excellent</v>
      </c>
      <c r="I35" s="10" t="str">
        <f t="shared" si="2"/>
        <v>Medium Discount</v>
      </c>
    </row>
    <row r="36" spans="1:12" x14ac:dyDescent="0.35">
      <c r="A36" s="10" t="s">
        <v>23</v>
      </c>
      <c r="B36" s="8">
        <v>1980</v>
      </c>
      <c r="C36" s="8">
        <v>2699</v>
      </c>
      <c r="D36" s="1">
        <v>0.27</v>
      </c>
      <c r="E36" s="6">
        <v>32</v>
      </c>
      <c r="F36" s="6">
        <v>4.5</v>
      </c>
      <c r="G36" s="8">
        <f t="shared" si="0"/>
        <v>719</v>
      </c>
      <c r="H36" s="10" t="str">
        <f t="shared" si="1"/>
        <v>Excellent</v>
      </c>
      <c r="I36" s="10" t="str">
        <f t="shared" si="2"/>
        <v>Medium Discount</v>
      </c>
    </row>
    <row r="37" spans="1:12" x14ac:dyDescent="0.35">
      <c r="A37" s="10" t="s">
        <v>82</v>
      </c>
      <c r="B37" s="8">
        <v>1620</v>
      </c>
      <c r="C37" s="8">
        <v>2690</v>
      </c>
      <c r="D37" s="1">
        <v>0.4</v>
      </c>
      <c r="E37" s="6">
        <v>1</v>
      </c>
      <c r="F37" s="6">
        <v>5</v>
      </c>
      <c r="G37" s="8">
        <f t="shared" si="0"/>
        <v>1070</v>
      </c>
      <c r="H37" s="10" t="str">
        <f t="shared" si="1"/>
        <v>Excellent</v>
      </c>
      <c r="I37" s="10" t="str">
        <f t="shared" si="2"/>
        <v>Medium Discount</v>
      </c>
    </row>
    <row r="38" spans="1:12" x14ac:dyDescent="0.35">
      <c r="A38" s="10" t="s">
        <v>24</v>
      </c>
      <c r="B38" s="8">
        <v>171</v>
      </c>
      <c r="C38" s="8">
        <v>360</v>
      </c>
      <c r="D38" s="1">
        <v>0.53</v>
      </c>
      <c r="E38" s="6">
        <v>2</v>
      </c>
      <c r="F38" s="6">
        <v>5</v>
      </c>
      <c r="G38" s="8">
        <f t="shared" si="0"/>
        <v>189</v>
      </c>
      <c r="H38" s="10" t="str">
        <f t="shared" si="1"/>
        <v>Excellent</v>
      </c>
      <c r="I38" s="10" t="str">
        <f t="shared" si="2"/>
        <v>High Discount</v>
      </c>
    </row>
    <row r="39" spans="1:12" x14ac:dyDescent="0.35">
      <c r="A39" s="10" t="s">
        <v>83</v>
      </c>
      <c r="B39" s="8">
        <v>389</v>
      </c>
      <c r="C39" s="8">
        <v>656</v>
      </c>
      <c r="D39" s="1">
        <v>0.41</v>
      </c>
      <c r="E39" s="6">
        <v>36</v>
      </c>
      <c r="F39" s="6">
        <v>4.3</v>
      </c>
      <c r="G39" s="8">
        <f t="shared" si="0"/>
        <v>267</v>
      </c>
      <c r="H39" s="10" t="str">
        <f t="shared" si="1"/>
        <v>Excellent</v>
      </c>
      <c r="I39" s="10" t="str">
        <f t="shared" si="2"/>
        <v>High Discount</v>
      </c>
    </row>
    <row r="40" spans="1:12" x14ac:dyDescent="0.35">
      <c r="A40" s="10" t="s">
        <v>84</v>
      </c>
      <c r="B40" s="8">
        <f>(VALUE(SUBSTITUTE(TRIM(LEFT(K40,FIND("-",K40)-1)),",",""))+ VALUE(SUBSTITUTE(TRIM(MID(K40,FIND("-",K40)+1, LEN(K40))),",","")))/2</f>
        <v>1800</v>
      </c>
      <c r="C40" s="8">
        <f>(VALUE(SUBSTITUTE(TRIM(LEFT(L40,FIND("-",L40)-1)),",",""))+ VALUE(SUBSTITUTE(TRIM(MID(L40,FIND("-",L40)+1, LEN(L40))),",","")))/2</f>
        <v>2700</v>
      </c>
      <c r="D40" s="1">
        <v>0.38</v>
      </c>
      <c r="E40" s="6">
        <v>2</v>
      </c>
      <c r="F40" s="6">
        <v>4.5</v>
      </c>
      <c r="G40" s="8">
        <f t="shared" si="0"/>
        <v>900</v>
      </c>
      <c r="H40" s="10" t="str">
        <f t="shared" si="1"/>
        <v>Excellent</v>
      </c>
      <c r="I40" s="10" t="str">
        <f t="shared" si="2"/>
        <v>Medium Discount</v>
      </c>
      <c r="K40" t="s">
        <v>65</v>
      </c>
      <c r="L40" t="s">
        <v>64</v>
      </c>
    </row>
    <row r="41" spans="1:12" x14ac:dyDescent="0.35">
      <c r="A41" s="10" t="s">
        <v>85</v>
      </c>
      <c r="B41" s="8">
        <v>2750</v>
      </c>
      <c r="C41" s="8">
        <v>4471</v>
      </c>
      <c r="D41" s="1">
        <v>0.38</v>
      </c>
      <c r="E41" s="6">
        <v>12.68</v>
      </c>
      <c r="F41" s="6">
        <v>3.8894736999999999</v>
      </c>
      <c r="G41" s="8">
        <f t="shared" si="0"/>
        <v>1721</v>
      </c>
      <c r="H41" s="10" t="str">
        <f t="shared" si="1"/>
        <v>Average</v>
      </c>
      <c r="I41" s="10" t="str">
        <f t="shared" si="2"/>
        <v>Medium Discount</v>
      </c>
    </row>
    <row r="42" spans="1:12" x14ac:dyDescent="0.35">
      <c r="A42" s="10" t="s">
        <v>25</v>
      </c>
      <c r="B42" s="8">
        <v>475</v>
      </c>
      <c r="C42" s="8">
        <v>931</v>
      </c>
      <c r="D42" s="1">
        <v>0.49</v>
      </c>
      <c r="E42" s="6">
        <v>12.68</v>
      </c>
      <c r="F42" s="6">
        <v>3.8894736999999999</v>
      </c>
      <c r="G42" s="8">
        <f t="shared" si="0"/>
        <v>456</v>
      </c>
      <c r="H42" s="10" t="str">
        <f t="shared" si="1"/>
        <v>Average</v>
      </c>
      <c r="I42" s="10" t="str">
        <f t="shared" si="2"/>
        <v>High Discount</v>
      </c>
    </row>
    <row r="43" spans="1:12" x14ac:dyDescent="0.35">
      <c r="A43" s="10" t="s">
        <v>86</v>
      </c>
      <c r="B43" s="8">
        <v>238</v>
      </c>
      <c r="C43" s="8">
        <v>476</v>
      </c>
      <c r="D43" s="1">
        <v>0.5</v>
      </c>
      <c r="E43" s="6">
        <v>12.68</v>
      </c>
      <c r="F43" s="6">
        <v>3.8894736999999999</v>
      </c>
      <c r="G43" s="8">
        <f t="shared" si="0"/>
        <v>238</v>
      </c>
      <c r="H43" s="10" t="str">
        <f t="shared" si="1"/>
        <v>Average</v>
      </c>
      <c r="I43" s="10" t="str">
        <f t="shared" si="2"/>
        <v>High Discount</v>
      </c>
    </row>
    <row r="44" spans="1:12" x14ac:dyDescent="0.35">
      <c r="A44" s="10" t="s">
        <v>87</v>
      </c>
      <c r="B44" s="8">
        <v>610</v>
      </c>
      <c r="C44" s="8">
        <v>1060</v>
      </c>
      <c r="D44" s="1">
        <v>0.42</v>
      </c>
      <c r="E44" s="6">
        <v>12.68</v>
      </c>
      <c r="F44" s="6">
        <v>3.8894736999999999</v>
      </c>
      <c r="G44" s="8">
        <f t="shared" si="0"/>
        <v>450</v>
      </c>
      <c r="H44" s="10" t="str">
        <f t="shared" si="1"/>
        <v>Average</v>
      </c>
      <c r="I44" s="10" t="str">
        <f t="shared" si="2"/>
        <v>High Discount</v>
      </c>
    </row>
    <row r="45" spans="1:12" x14ac:dyDescent="0.35">
      <c r="A45" s="10" t="s">
        <v>26</v>
      </c>
      <c r="B45" s="8">
        <v>2132</v>
      </c>
      <c r="C45" s="8">
        <v>2169</v>
      </c>
      <c r="D45" s="1">
        <v>0.02</v>
      </c>
      <c r="E45" s="6">
        <v>12.68</v>
      </c>
      <c r="F45" s="6">
        <v>3.8894736999999999</v>
      </c>
      <c r="G45" s="8">
        <f t="shared" si="0"/>
        <v>37</v>
      </c>
      <c r="H45" s="10" t="str">
        <f t="shared" si="1"/>
        <v>Average</v>
      </c>
      <c r="I45" s="10" t="str">
        <f t="shared" si="2"/>
        <v>Low Discount</v>
      </c>
    </row>
    <row r="46" spans="1:12" x14ac:dyDescent="0.35">
      <c r="A46" s="10" t="s">
        <v>27</v>
      </c>
      <c r="B46" s="8">
        <v>999</v>
      </c>
      <c r="C46" s="8">
        <v>2000</v>
      </c>
      <c r="D46" s="1">
        <v>0.5</v>
      </c>
      <c r="E46" s="6">
        <v>12.68</v>
      </c>
      <c r="F46" s="6">
        <v>3.8894736999999999</v>
      </c>
      <c r="G46" s="8">
        <f t="shared" si="0"/>
        <v>1001</v>
      </c>
      <c r="H46" s="10" t="str">
        <f t="shared" si="1"/>
        <v>Average</v>
      </c>
      <c r="I46" s="10" t="str">
        <f t="shared" si="2"/>
        <v>High Discount</v>
      </c>
    </row>
    <row r="47" spans="1:12" x14ac:dyDescent="0.35">
      <c r="A47" s="10" t="s">
        <v>28</v>
      </c>
      <c r="B47" s="8">
        <v>1190</v>
      </c>
      <c r="C47" s="8">
        <v>1785</v>
      </c>
      <c r="D47" s="1">
        <v>0.33</v>
      </c>
      <c r="E47" s="6">
        <v>12.68</v>
      </c>
      <c r="F47" s="6">
        <v>3.8894736999999999</v>
      </c>
      <c r="G47" s="8">
        <f t="shared" si="0"/>
        <v>595</v>
      </c>
      <c r="H47" s="10" t="str">
        <f t="shared" si="1"/>
        <v>Average</v>
      </c>
      <c r="I47" s="10" t="str">
        <f t="shared" si="2"/>
        <v>Medium Discount</v>
      </c>
    </row>
    <row r="48" spans="1:12" x14ac:dyDescent="0.35">
      <c r="A48" s="10" t="s">
        <v>29</v>
      </c>
      <c r="B48" s="8">
        <v>671</v>
      </c>
      <c r="C48" s="8">
        <v>1316</v>
      </c>
      <c r="D48" s="1">
        <v>0.49</v>
      </c>
      <c r="E48" s="6">
        <v>12.68</v>
      </c>
      <c r="F48" s="6">
        <v>3.8894736999999999</v>
      </c>
      <c r="G48" s="8">
        <f t="shared" si="0"/>
        <v>645</v>
      </c>
      <c r="H48" s="10" t="str">
        <f t="shared" si="1"/>
        <v>Average</v>
      </c>
      <c r="I48" s="10" t="str">
        <f t="shared" si="2"/>
        <v>High Discount</v>
      </c>
    </row>
    <row r="49" spans="1:9" x14ac:dyDescent="0.35">
      <c r="A49" s="10" t="s">
        <v>88</v>
      </c>
      <c r="B49" s="8">
        <v>1200</v>
      </c>
      <c r="C49" s="8">
        <v>1950</v>
      </c>
      <c r="D49" s="1">
        <v>0.38</v>
      </c>
      <c r="E49" s="6">
        <v>12.68</v>
      </c>
      <c r="F49" s="6">
        <v>3.8894736999999999</v>
      </c>
      <c r="G49" s="8">
        <f t="shared" si="0"/>
        <v>750</v>
      </c>
      <c r="H49" s="10" t="str">
        <f t="shared" si="1"/>
        <v>Average</v>
      </c>
      <c r="I49" s="10" t="str">
        <f t="shared" si="2"/>
        <v>Medium Discount</v>
      </c>
    </row>
    <row r="50" spans="1:9" x14ac:dyDescent="0.35">
      <c r="A50" s="10" t="s">
        <v>30</v>
      </c>
      <c r="B50" s="8">
        <v>199</v>
      </c>
      <c r="C50" s="8">
        <v>504</v>
      </c>
      <c r="D50" s="1">
        <v>0.61</v>
      </c>
      <c r="E50" s="6">
        <v>12.68</v>
      </c>
      <c r="F50" s="6">
        <v>3.8894736999999999</v>
      </c>
      <c r="G50" s="8">
        <f t="shared" si="0"/>
        <v>305</v>
      </c>
      <c r="H50" s="10" t="str">
        <f t="shared" si="1"/>
        <v>Average</v>
      </c>
      <c r="I50" s="10" t="str">
        <f t="shared" si="2"/>
        <v>High Discount</v>
      </c>
    </row>
    <row r="51" spans="1:9" x14ac:dyDescent="0.35">
      <c r="A51" s="10" t="s">
        <v>31</v>
      </c>
      <c r="B51" s="8">
        <v>299</v>
      </c>
      <c r="C51" s="8">
        <v>600</v>
      </c>
      <c r="D51" s="1">
        <v>0.5</v>
      </c>
      <c r="E51" s="6">
        <v>12.68</v>
      </c>
      <c r="F51" s="6">
        <v>3.8894736999999999</v>
      </c>
      <c r="G51" s="8">
        <f t="shared" si="0"/>
        <v>301</v>
      </c>
      <c r="H51" s="10" t="str">
        <f t="shared" si="1"/>
        <v>Average</v>
      </c>
      <c r="I51" s="10" t="str">
        <f t="shared" si="2"/>
        <v>High Discount</v>
      </c>
    </row>
    <row r="52" spans="1:9" x14ac:dyDescent="0.35">
      <c r="A52" s="10" t="s">
        <v>32</v>
      </c>
      <c r="B52" s="8">
        <v>1660</v>
      </c>
      <c r="C52" s="8">
        <v>1699</v>
      </c>
      <c r="D52" s="1">
        <v>0.02</v>
      </c>
      <c r="E52" s="6">
        <v>12.68</v>
      </c>
      <c r="F52" s="6">
        <v>3.8894736999999999</v>
      </c>
      <c r="G52" s="8">
        <f t="shared" si="0"/>
        <v>39</v>
      </c>
      <c r="H52" s="10" t="str">
        <f t="shared" si="1"/>
        <v>Average</v>
      </c>
      <c r="I52" s="10" t="str">
        <f t="shared" si="2"/>
        <v>Low Discount</v>
      </c>
    </row>
    <row r="53" spans="1:9" x14ac:dyDescent="0.35">
      <c r="A53" s="10" t="s">
        <v>33</v>
      </c>
      <c r="B53" s="8">
        <v>299</v>
      </c>
      <c r="C53" s="8">
        <v>384</v>
      </c>
      <c r="D53" s="1">
        <v>0.22</v>
      </c>
      <c r="E53" s="6">
        <v>12.68</v>
      </c>
      <c r="F53" s="6">
        <v>3.8894736999999999</v>
      </c>
      <c r="G53" s="8">
        <f t="shared" si="0"/>
        <v>85</v>
      </c>
      <c r="H53" s="10" t="str">
        <f t="shared" si="1"/>
        <v>Average</v>
      </c>
      <c r="I53" s="10" t="str">
        <f t="shared" si="2"/>
        <v>Medium Discount</v>
      </c>
    </row>
    <row r="54" spans="1:9" x14ac:dyDescent="0.35">
      <c r="A54" s="10" t="s">
        <v>89</v>
      </c>
      <c r="B54" s="8">
        <v>1459</v>
      </c>
      <c r="C54" s="8">
        <v>1499</v>
      </c>
      <c r="D54" s="1">
        <v>0.03</v>
      </c>
      <c r="E54" s="6">
        <v>12.68</v>
      </c>
      <c r="F54" s="6">
        <v>3.8894736999999999</v>
      </c>
      <c r="G54" s="8">
        <f t="shared" si="0"/>
        <v>40</v>
      </c>
      <c r="H54" s="10" t="str">
        <f t="shared" si="1"/>
        <v>Average</v>
      </c>
      <c r="I54" s="10" t="str">
        <f t="shared" si="2"/>
        <v>Low Discount</v>
      </c>
    </row>
    <row r="55" spans="1:9" x14ac:dyDescent="0.35">
      <c r="A55" s="10" t="s">
        <v>34</v>
      </c>
      <c r="B55" s="8">
        <v>799</v>
      </c>
      <c r="C55" s="8">
        <v>1343</v>
      </c>
      <c r="D55" s="1">
        <v>0.41</v>
      </c>
      <c r="E55" s="6">
        <v>12.68</v>
      </c>
      <c r="F55" s="6">
        <v>3.8894736999999999</v>
      </c>
      <c r="G55" s="8">
        <f t="shared" si="0"/>
        <v>544</v>
      </c>
      <c r="H55" s="10" t="str">
        <f t="shared" si="1"/>
        <v>Average</v>
      </c>
      <c r="I55" s="10" t="str">
        <f t="shared" si="2"/>
        <v>High Discount</v>
      </c>
    </row>
    <row r="56" spans="1:9" x14ac:dyDescent="0.35">
      <c r="A56" s="10" t="s">
        <v>35</v>
      </c>
      <c r="B56" s="8">
        <v>499</v>
      </c>
      <c r="C56" s="8">
        <v>900</v>
      </c>
      <c r="D56" s="1">
        <v>0.45</v>
      </c>
      <c r="E56" s="6">
        <v>12.68</v>
      </c>
      <c r="F56" s="6">
        <v>3.8894736999999999</v>
      </c>
      <c r="G56" s="8">
        <f t="shared" si="0"/>
        <v>401</v>
      </c>
      <c r="H56" s="10" t="str">
        <f t="shared" si="1"/>
        <v>Average</v>
      </c>
      <c r="I56" s="10" t="str">
        <f t="shared" si="2"/>
        <v>High Discount</v>
      </c>
    </row>
    <row r="57" spans="1:9" x14ac:dyDescent="0.35">
      <c r="A57" s="10" t="s">
        <v>36</v>
      </c>
      <c r="B57" s="8">
        <v>699</v>
      </c>
      <c r="C57" s="8">
        <v>1343</v>
      </c>
      <c r="D57" s="1">
        <v>0.48</v>
      </c>
      <c r="E57" s="6">
        <v>12.68</v>
      </c>
      <c r="F57" s="6">
        <v>3.8894736999999999</v>
      </c>
      <c r="G57" s="8">
        <f t="shared" si="0"/>
        <v>644</v>
      </c>
      <c r="H57" s="10" t="str">
        <f t="shared" si="1"/>
        <v>Average</v>
      </c>
      <c r="I57" s="10" t="str">
        <f t="shared" si="2"/>
        <v>High Discount</v>
      </c>
    </row>
    <row r="58" spans="1:9" x14ac:dyDescent="0.35">
      <c r="A58" s="10" t="s">
        <v>37</v>
      </c>
      <c r="B58" s="8">
        <v>799</v>
      </c>
      <c r="C58" s="8">
        <v>1567</v>
      </c>
      <c r="D58" s="1">
        <v>0.49</v>
      </c>
      <c r="E58" s="6">
        <v>12.68</v>
      </c>
      <c r="F58" s="6">
        <v>3.8894736999999999</v>
      </c>
      <c r="G58" s="8">
        <f t="shared" si="0"/>
        <v>768</v>
      </c>
      <c r="H58" s="10" t="str">
        <f t="shared" si="1"/>
        <v>Average</v>
      </c>
      <c r="I58" s="10" t="str">
        <f t="shared" si="2"/>
        <v>High Discount</v>
      </c>
    </row>
    <row r="59" spans="1:9" x14ac:dyDescent="0.35">
      <c r="A59" s="10" t="s">
        <v>90</v>
      </c>
      <c r="B59" s="8">
        <v>2799</v>
      </c>
      <c r="C59" s="8">
        <v>3810</v>
      </c>
      <c r="D59" s="1">
        <v>0.27</v>
      </c>
      <c r="E59" s="6">
        <v>12.68</v>
      </c>
      <c r="F59" s="6">
        <v>3.8894736999999999</v>
      </c>
      <c r="G59" s="8">
        <f t="shared" si="0"/>
        <v>1011</v>
      </c>
      <c r="H59" s="10" t="str">
        <f t="shared" si="1"/>
        <v>Average</v>
      </c>
      <c r="I59" s="10" t="str">
        <f t="shared" si="2"/>
        <v>Medium Discount</v>
      </c>
    </row>
    <row r="60" spans="1:9" x14ac:dyDescent="0.35">
      <c r="A60" s="10" t="s">
        <v>35</v>
      </c>
      <c r="B60" s="8">
        <v>399</v>
      </c>
      <c r="C60" s="8">
        <v>896</v>
      </c>
      <c r="D60" s="1">
        <v>0.55000000000000004</v>
      </c>
      <c r="E60" s="6">
        <v>12.68</v>
      </c>
      <c r="F60" s="6">
        <v>3.8894736999999999</v>
      </c>
      <c r="G60" s="8">
        <f t="shared" si="0"/>
        <v>497</v>
      </c>
      <c r="H60" s="10" t="str">
        <f t="shared" si="1"/>
        <v>Average</v>
      </c>
      <c r="I60" s="10" t="str">
        <f t="shared" si="2"/>
        <v>High Discount</v>
      </c>
    </row>
    <row r="61" spans="1:9" x14ac:dyDescent="0.35">
      <c r="A61" s="10" t="s">
        <v>91</v>
      </c>
      <c r="B61" s="8">
        <v>2170</v>
      </c>
      <c r="C61" s="8">
        <v>2500</v>
      </c>
      <c r="D61" s="1">
        <v>0.13</v>
      </c>
      <c r="E61" s="6">
        <v>6</v>
      </c>
      <c r="F61" s="6">
        <v>2.5</v>
      </c>
      <c r="G61" s="8">
        <f t="shared" si="0"/>
        <v>330</v>
      </c>
      <c r="H61" s="10" t="str">
        <f t="shared" si="1"/>
        <v>Poor</v>
      </c>
      <c r="I61" s="10" t="str">
        <f t="shared" si="2"/>
        <v>Low Discount</v>
      </c>
    </row>
    <row r="62" spans="1:9" x14ac:dyDescent="0.35">
      <c r="A62" s="10" t="s">
        <v>92</v>
      </c>
      <c r="B62" s="8">
        <v>458</v>
      </c>
      <c r="C62" s="8">
        <v>986</v>
      </c>
      <c r="D62" s="1">
        <v>0.54</v>
      </c>
      <c r="E62" s="6">
        <v>10</v>
      </c>
      <c r="F62" s="6">
        <v>3</v>
      </c>
      <c r="G62" s="8">
        <f t="shared" si="0"/>
        <v>528</v>
      </c>
      <c r="H62" s="10" t="str">
        <f t="shared" si="1"/>
        <v>Average</v>
      </c>
      <c r="I62" s="10" t="str">
        <f t="shared" si="2"/>
        <v>High Discount</v>
      </c>
    </row>
    <row r="63" spans="1:9" x14ac:dyDescent="0.35">
      <c r="A63" s="10" t="s">
        <v>93</v>
      </c>
      <c r="B63" s="8">
        <v>2115</v>
      </c>
      <c r="C63" s="8">
        <v>4700</v>
      </c>
      <c r="D63" s="1">
        <v>0.55000000000000004</v>
      </c>
      <c r="E63" s="6">
        <v>13</v>
      </c>
      <c r="F63" s="6">
        <v>2.1</v>
      </c>
      <c r="G63" s="8">
        <f t="shared" si="0"/>
        <v>2585</v>
      </c>
      <c r="H63" s="10" t="str">
        <f t="shared" si="1"/>
        <v>Poor</v>
      </c>
      <c r="I63" s="10" t="str">
        <f t="shared" si="2"/>
        <v>High Discount</v>
      </c>
    </row>
    <row r="64" spans="1:9" x14ac:dyDescent="0.35">
      <c r="A64" s="10" t="s">
        <v>38</v>
      </c>
      <c r="B64" s="8">
        <v>445</v>
      </c>
      <c r="C64" s="8">
        <v>873</v>
      </c>
      <c r="D64" s="1">
        <v>0.49</v>
      </c>
      <c r="E64" s="6">
        <v>69</v>
      </c>
      <c r="F64" s="6">
        <v>2.8</v>
      </c>
      <c r="G64" s="8">
        <f t="shared" si="0"/>
        <v>428</v>
      </c>
      <c r="H64" s="10" t="str">
        <f t="shared" si="1"/>
        <v>Poor</v>
      </c>
      <c r="I64" s="10" t="str">
        <f t="shared" si="2"/>
        <v>High Discount</v>
      </c>
    </row>
    <row r="65" spans="1:9" x14ac:dyDescent="0.35">
      <c r="A65" s="10" t="s">
        <v>94</v>
      </c>
      <c r="B65" s="8">
        <v>325</v>
      </c>
      <c r="C65" s="8">
        <v>680</v>
      </c>
      <c r="D65" s="1">
        <v>0.52</v>
      </c>
      <c r="E65" s="6">
        <v>15</v>
      </c>
      <c r="F65" s="6">
        <v>2.7</v>
      </c>
      <c r="G65" s="8">
        <f t="shared" si="0"/>
        <v>355</v>
      </c>
      <c r="H65" s="10" t="str">
        <f t="shared" si="1"/>
        <v>Poor</v>
      </c>
      <c r="I65" s="10" t="str">
        <f t="shared" si="2"/>
        <v>High Discount</v>
      </c>
    </row>
    <row r="66" spans="1:9" x14ac:dyDescent="0.35">
      <c r="A66" s="10" t="s">
        <v>95</v>
      </c>
      <c r="B66" s="8">
        <v>1220</v>
      </c>
      <c r="C66" s="8">
        <v>1555</v>
      </c>
      <c r="D66" s="1">
        <v>0.22</v>
      </c>
      <c r="E66" s="6">
        <v>16</v>
      </c>
      <c r="F66" s="6">
        <v>2.9</v>
      </c>
      <c r="G66" s="8">
        <f t="shared" si="0"/>
        <v>335</v>
      </c>
      <c r="H66" s="10" t="str">
        <f t="shared" si="1"/>
        <v>Poor</v>
      </c>
      <c r="I66" s="10" t="str">
        <f t="shared" si="2"/>
        <v>Medium Discount</v>
      </c>
    </row>
    <row r="67" spans="1:9" x14ac:dyDescent="0.35">
      <c r="A67" s="10" t="s">
        <v>39</v>
      </c>
      <c r="B67" s="8">
        <v>990</v>
      </c>
      <c r="C67" s="8">
        <v>1814</v>
      </c>
      <c r="D67" s="1">
        <v>0.45</v>
      </c>
      <c r="E67" s="6">
        <v>6</v>
      </c>
      <c r="F67" s="6">
        <v>2.2000000000000002</v>
      </c>
      <c r="G67" s="8">
        <f t="shared" ref="G67:G113" si="3">C67-B67</f>
        <v>824</v>
      </c>
      <c r="H67" s="10" t="str">
        <f t="shared" ref="H67:H113" si="4">IF(F67&lt;3, "Poor", IF(F67&lt;=4, "Average", "Excellent"))</f>
        <v>Poor</v>
      </c>
      <c r="I67" s="10" t="str">
        <f t="shared" si="2"/>
        <v>High Discount</v>
      </c>
    </row>
    <row r="68" spans="1:9" x14ac:dyDescent="0.35">
      <c r="A68" s="10" t="s">
        <v>96</v>
      </c>
      <c r="B68" s="8">
        <v>1000</v>
      </c>
      <c r="C68" s="8">
        <v>2000</v>
      </c>
      <c r="D68" s="1">
        <v>0.5</v>
      </c>
      <c r="E68" s="6">
        <v>7</v>
      </c>
      <c r="F68" s="6">
        <v>2.2999999999999998</v>
      </c>
      <c r="G68" s="8">
        <f t="shared" si="3"/>
        <v>1000</v>
      </c>
      <c r="H68" s="10" t="str">
        <f t="shared" si="4"/>
        <v>Poor</v>
      </c>
      <c r="I68" s="10" t="str">
        <f t="shared" ref="I68:I113" si="5">IF(D68&lt;20%, "Low Discount", IF(D68&lt;=40%, "Medium Discount", "High Discount"))</f>
        <v>High Discount</v>
      </c>
    </row>
    <row r="69" spans="1:9" x14ac:dyDescent="0.35">
      <c r="A69" s="10" t="s">
        <v>97</v>
      </c>
      <c r="B69" s="8">
        <v>3750</v>
      </c>
      <c r="C69" s="8">
        <v>6143</v>
      </c>
      <c r="D69" s="1">
        <v>0.39</v>
      </c>
      <c r="E69" s="6">
        <v>5</v>
      </c>
      <c r="F69" s="6">
        <v>3</v>
      </c>
      <c r="G69" s="8">
        <f t="shared" si="3"/>
        <v>2393</v>
      </c>
      <c r="H69" s="10" t="str">
        <f t="shared" si="4"/>
        <v>Average</v>
      </c>
      <c r="I69" s="10" t="str">
        <f t="shared" si="5"/>
        <v>Medium Discount</v>
      </c>
    </row>
    <row r="70" spans="1:9" x14ac:dyDescent="0.35">
      <c r="A70" s="10" t="s">
        <v>40</v>
      </c>
      <c r="B70" s="8">
        <v>382</v>
      </c>
      <c r="C70" s="8">
        <v>700</v>
      </c>
      <c r="D70" s="1">
        <v>0.45</v>
      </c>
      <c r="E70" s="6">
        <v>17</v>
      </c>
      <c r="F70" s="6">
        <v>2.6</v>
      </c>
      <c r="G70" s="8">
        <f t="shared" si="3"/>
        <v>318</v>
      </c>
      <c r="H70" s="10" t="str">
        <f t="shared" si="4"/>
        <v>Poor</v>
      </c>
      <c r="I70" s="10" t="str">
        <f t="shared" si="5"/>
        <v>High Discount</v>
      </c>
    </row>
    <row r="71" spans="1:9" x14ac:dyDescent="0.35">
      <c r="A71" s="10" t="s">
        <v>98</v>
      </c>
      <c r="B71" s="8">
        <v>2300</v>
      </c>
      <c r="C71" s="8">
        <v>3240</v>
      </c>
      <c r="D71" s="1">
        <v>0.28999999999999998</v>
      </c>
      <c r="E71" s="6">
        <v>5</v>
      </c>
      <c r="F71" s="6">
        <v>3</v>
      </c>
      <c r="G71" s="8">
        <f t="shared" si="3"/>
        <v>940</v>
      </c>
      <c r="H71" s="10" t="str">
        <f t="shared" si="4"/>
        <v>Average</v>
      </c>
      <c r="I71" s="10" t="str">
        <f t="shared" si="5"/>
        <v>Medium Discount</v>
      </c>
    </row>
    <row r="72" spans="1:9" x14ac:dyDescent="0.35">
      <c r="A72" s="10" t="s">
        <v>41</v>
      </c>
      <c r="B72" s="8">
        <v>345</v>
      </c>
      <c r="C72" s="8">
        <v>602</v>
      </c>
      <c r="D72" s="1">
        <v>0.43</v>
      </c>
      <c r="E72" s="6">
        <v>6</v>
      </c>
      <c r="F72" s="6">
        <v>2.2999999999999998</v>
      </c>
      <c r="G72" s="8">
        <f t="shared" si="3"/>
        <v>257</v>
      </c>
      <c r="H72" s="10" t="str">
        <f t="shared" si="4"/>
        <v>Poor</v>
      </c>
      <c r="I72" s="10" t="str">
        <f t="shared" si="5"/>
        <v>High Discount</v>
      </c>
    </row>
    <row r="73" spans="1:9" x14ac:dyDescent="0.35">
      <c r="A73" s="10" t="s">
        <v>42</v>
      </c>
      <c r="B73" s="8">
        <v>509</v>
      </c>
      <c r="C73" s="8">
        <v>899</v>
      </c>
      <c r="D73" s="1">
        <v>0.43</v>
      </c>
      <c r="E73" s="6">
        <v>5</v>
      </c>
      <c r="F73" s="6">
        <v>3</v>
      </c>
      <c r="G73" s="8">
        <f t="shared" si="3"/>
        <v>390</v>
      </c>
      <c r="H73" s="10" t="str">
        <f t="shared" si="4"/>
        <v>Average</v>
      </c>
      <c r="I73" s="10" t="str">
        <f t="shared" si="5"/>
        <v>High Discount</v>
      </c>
    </row>
    <row r="74" spans="1:9" x14ac:dyDescent="0.35">
      <c r="A74" s="10" t="s">
        <v>99</v>
      </c>
      <c r="B74" s="8">
        <v>968</v>
      </c>
      <c r="C74" s="8">
        <v>1814</v>
      </c>
      <c r="D74" s="1">
        <v>0.47</v>
      </c>
      <c r="E74" s="6">
        <v>6</v>
      </c>
      <c r="F74" s="6">
        <v>2.2000000000000002</v>
      </c>
      <c r="G74" s="8">
        <f t="shared" si="3"/>
        <v>846</v>
      </c>
      <c r="H74" s="10" t="str">
        <f t="shared" si="4"/>
        <v>Poor</v>
      </c>
      <c r="I74" s="10" t="str">
        <f t="shared" si="5"/>
        <v>High Discount</v>
      </c>
    </row>
    <row r="75" spans="1:9" x14ac:dyDescent="0.35">
      <c r="A75" s="10" t="s">
        <v>100</v>
      </c>
      <c r="B75" s="8">
        <v>1570</v>
      </c>
      <c r="C75" s="8">
        <v>2988</v>
      </c>
      <c r="D75" s="1">
        <v>0.47</v>
      </c>
      <c r="E75" s="6">
        <v>7</v>
      </c>
      <c r="F75" s="6">
        <v>2.1</v>
      </c>
      <c r="G75" s="8">
        <f t="shared" si="3"/>
        <v>1418</v>
      </c>
      <c r="H75" s="10" t="str">
        <f t="shared" si="4"/>
        <v>Poor</v>
      </c>
      <c r="I75" s="10" t="str">
        <f t="shared" si="5"/>
        <v>High Discount</v>
      </c>
    </row>
    <row r="76" spans="1:9" x14ac:dyDescent="0.35">
      <c r="A76" s="10" t="s">
        <v>101</v>
      </c>
      <c r="B76" s="8">
        <v>790</v>
      </c>
      <c r="C76" s="8">
        <v>1485</v>
      </c>
      <c r="D76" s="1">
        <v>0.47</v>
      </c>
      <c r="E76" s="6">
        <v>12.68</v>
      </c>
      <c r="F76" s="6">
        <v>3.8894736999999999</v>
      </c>
      <c r="G76" s="8">
        <f t="shared" si="3"/>
        <v>695</v>
      </c>
      <c r="H76" s="10" t="str">
        <f t="shared" si="4"/>
        <v>Average</v>
      </c>
      <c r="I76" s="10" t="str">
        <f t="shared" si="5"/>
        <v>High Discount</v>
      </c>
    </row>
    <row r="77" spans="1:9" x14ac:dyDescent="0.35">
      <c r="A77" s="10" t="s">
        <v>102</v>
      </c>
      <c r="B77" s="8">
        <v>690</v>
      </c>
      <c r="C77" s="8">
        <v>1200</v>
      </c>
      <c r="D77" s="1">
        <v>0.43</v>
      </c>
      <c r="E77" s="6">
        <v>12.68</v>
      </c>
      <c r="F77" s="6">
        <v>3.8894736999999999</v>
      </c>
      <c r="G77" s="8">
        <f t="shared" si="3"/>
        <v>510</v>
      </c>
      <c r="H77" s="10" t="str">
        <f t="shared" si="4"/>
        <v>Average</v>
      </c>
      <c r="I77" s="10" t="str">
        <f t="shared" si="5"/>
        <v>High Discount</v>
      </c>
    </row>
    <row r="78" spans="1:9" x14ac:dyDescent="0.35">
      <c r="A78" s="10" t="s">
        <v>43</v>
      </c>
      <c r="B78" s="8">
        <v>1732</v>
      </c>
      <c r="C78" s="8">
        <v>1799</v>
      </c>
      <c r="D78" s="1">
        <v>0.04</v>
      </c>
      <c r="E78" s="6">
        <v>12.68</v>
      </c>
      <c r="F78" s="6">
        <v>3.8894736999999999</v>
      </c>
      <c r="G78" s="8">
        <f t="shared" si="3"/>
        <v>67</v>
      </c>
      <c r="H78" s="10" t="str">
        <f t="shared" si="4"/>
        <v>Average</v>
      </c>
      <c r="I78" s="10" t="str">
        <f t="shared" si="5"/>
        <v>Low Discount</v>
      </c>
    </row>
    <row r="79" spans="1:9" x14ac:dyDescent="0.35">
      <c r="A79" s="10" t="s">
        <v>103</v>
      </c>
      <c r="B79" s="8">
        <v>230</v>
      </c>
      <c r="C79" s="8">
        <v>450</v>
      </c>
      <c r="D79" s="1">
        <v>0.49</v>
      </c>
      <c r="E79" s="6">
        <v>12.68</v>
      </c>
      <c r="F79" s="6">
        <v>3.8894736999999999</v>
      </c>
      <c r="G79" s="8">
        <f t="shared" si="3"/>
        <v>220</v>
      </c>
      <c r="H79" s="10" t="str">
        <f t="shared" si="4"/>
        <v>Average</v>
      </c>
      <c r="I79" s="10" t="str">
        <f t="shared" si="5"/>
        <v>High Discount</v>
      </c>
    </row>
    <row r="80" spans="1:9" x14ac:dyDescent="0.35">
      <c r="A80" s="10" t="s">
        <v>104</v>
      </c>
      <c r="B80" s="8">
        <v>1189</v>
      </c>
      <c r="C80" s="8">
        <v>2199</v>
      </c>
      <c r="D80" s="1">
        <v>0.46</v>
      </c>
      <c r="E80" s="6">
        <v>1</v>
      </c>
      <c r="F80" s="6">
        <v>3</v>
      </c>
      <c r="G80" s="8">
        <f t="shared" si="3"/>
        <v>1010</v>
      </c>
      <c r="H80" s="10" t="str">
        <f t="shared" si="4"/>
        <v>Average</v>
      </c>
      <c r="I80" s="10" t="str">
        <f t="shared" si="5"/>
        <v>High Discount</v>
      </c>
    </row>
    <row r="81" spans="1:9" x14ac:dyDescent="0.35">
      <c r="A81" s="10" t="s">
        <v>44</v>
      </c>
      <c r="B81" s="8">
        <v>979</v>
      </c>
      <c r="C81" s="8">
        <v>1920</v>
      </c>
      <c r="D81" s="1">
        <v>0.49</v>
      </c>
      <c r="E81" s="6">
        <v>1</v>
      </c>
      <c r="F81" s="6">
        <v>5</v>
      </c>
      <c r="G81" s="8">
        <f t="shared" si="3"/>
        <v>941</v>
      </c>
      <c r="H81" s="10" t="str">
        <f t="shared" si="4"/>
        <v>Excellent</v>
      </c>
      <c r="I81" s="10" t="str">
        <f t="shared" si="5"/>
        <v>High Discount</v>
      </c>
    </row>
    <row r="82" spans="1:9" x14ac:dyDescent="0.35">
      <c r="A82" s="10" t="s">
        <v>105</v>
      </c>
      <c r="B82" s="8">
        <v>1460</v>
      </c>
      <c r="C82" s="8">
        <v>2290</v>
      </c>
      <c r="D82" s="1">
        <v>0.36</v>
      </c>
      <c r="E82" s="6">
        <v>12.68</v>
      </c>
      <c r="F82" s="6">
        <v>3.8894736999999999</v>
      </c>
      <c r="G82" s="8">
        <f t="shared" si="3"/>
        <v>830</v>
      </c>
      <c r="H82" s="10" t="str">
        <f t="shared" si="4"/>
        <v>Average</v>
      </c>
      <c r="I82" s="10" t="str">
        <f t="shared" si="5"/>
        <v>Medium Discount</v>
      </c>
    </row>
    <row r="83" spans="1:9" x14ac:dyDescent="0.35">
      <c r="A83" s="10" t="s">
        <v>106</v>
      </c>
      <c r="B83" s="8">
        <v>1666</v>
      </c>
      <c r="C83" s="8">
        <v>1699</v>
      </c>
      <c r="D83" s="1">
        <v>0.02</v>
      </c>
      <c r="E83" s="6">
        <v>12.68</v>
      </c>
      <c r="F83" s="6">
        <v>3.8894736999999999</v>
      </c>
      <c r="G83" s="8">
        <f t="shared" si="3"/>
        <v>33</v>
      </c>
      <c r="H83" s="10" t="str">
        <f t="shared" si="4"/>
        <v>Average</v>
      </c>
      <c r="I83" s="10" t="str">
        <f t="shared" si="5"/>
        <v>Low Discount</v>
      </c>
    </row>
    <row r="84" spans="1:9" x14ac:dyDescent="0.35">
      <c r="A84" s="10" t="s">
        <v>45</v>
      </c>
      <c r="B84" s="8">
        <v>330</v>
      </c>
      <c r="C84" s="8">
        <v>647</v>
      </c>
      <c r="D84" s="1">
        <v>0.49</v>
      </c>
      <c r="E84" s="6">
        <v>1</v>
      </c>
      <c r="F84" s="6">
        <v>4</v>
      </c>
      <c r="G84" s="8">
        <f t="shared" si="3"/>
        <v>317</v>
      </c>
      <c r="H84" s="10" t="str">
        <f t="shared" si="4"/>
        <v>Average</v>
      </c>
      <c r="I84" s="10" t="str">
        <f t="shared" si="5"/>
        <v>High Discount</v>
      </c>
    </row>
    <row r="85" spans="1:9" x14ac:dyDescent="0.35">
      <c r="A85" s="10" t="s">
        <v>30</v>
      </c>
      <c r="B85" s="8">
        <v>176</v>
      </c>
      <c r="C85" s="8">
        <v>345</v>
      </c>
      <c r="D85" s="1">
        <v>0.49</v>
      </c>
      <c r="E85" s="6">
        <v>12.68</v>
      </c>
      <c r="F85" s="6">
        <v>3.8894736999999999</v>
      </c>
      <c r="G85" s="8">
        <f t="shared" si="3"/>
        <v>169</v>
      </c>
      <c r="H85" s="10" t="str">
        <f t="shared" si="4"/>
        <v>Average</v>
      </c>
      <c r="I85" s="10" t="str">
        <f t="shared" si="5"/>
        <v>High Discount</v>
      </c>
    </row>
    <row r="86" spans="1:9" x14ac:dyDescent="0.35">
      <c r="A86" s="10" t="s">
        <v>46</v>
      </c>
      <c r="B86" s="8">
        <v>1466</v>
      </c>
      <c r="C86" s="8">
        <v>1699</v>
      </c>
      <c r="D86" s="1">
        <v>0.14000000000000001</v>
      </c>
      <c r="E86" s="6">
        <v>12.68</v>
      </c>
      <c r="F86" s="6">
        <v>3.8894736999999999</v>
      </c>
      <c r="G86" s="8">
        <f t="shared" si="3"/>
        <v>233</v>
      </c>
      <c r="H86" s="10" t="str">
        <f t="shared" si="4"/>
        <v>Average</v>
      </c>
      <c r="I86" s="10" t="str">
        <f t="shared" si="5"/>
        <v>Low Discount</v>
      </c>
    </row>
    <row r="87" spans="1:9" x14ac:dyDescent="0.35">
      <c r="A87" s="10" t="s">
        <v>47</v>
      </c>
      <c r="B87" s="8">
        <v>274</v>
      </c>
      <c r="C87" s="8">
        <v>537</v>
      </c>
      <c r="D87" s="1">
        <v>0.49</v>
      </c>
      <c r="E87" s="6">
        <v>12.68</v>
      </c>
      <c r="F87" s="6">
        <v>3.8894736999999999</v>
      </c>
      <c r="G87" s="8">
        <f t="shared" si="3"/>
        <v>263</v>
      </c>
      <c r="H87" s="10" t="str">
        <f t="shared" si="4"/>
        <v>Average</v>
      </c>
      <c r="I87" s="10" t="str">
        <f t="shared" si="5"/>
        <v>High Discount</v>
      </c>
    </row>
    <row r="88" spans="1:9" x14ac:dyDescent="0.35">
      <c r="A88" s="10" t="s">
        <v>107</v>
      </c>
      <c r="B88" s="8">
        <v>799</v>
      </c>
      <c r="C88" s="8">
        <v>900</v>
      </c>
      <c r="D88" s="1">
        <v>0.11</v>
      </c>
      <c r="E88" s="6">
        <v>12.68</v>
      </c>
      <c r="F88" s="6">
        <v>3.8894736999999999</v>
      </c>
      <c r="G88" s="8">
        <f t="shared" si="3"/>
        <v>101</v>
      </c>
      <c r="H88" s="10" t="str">
        <f t="shared" si="4"/>
        <v>Average</v>
      </c>
      <c r="I88" s="10" t="str">
        <f t="shared" si="5"/>
        <v>Low Discount</v>
      </c>
    </row>
    <row r="89" spans="1:9" x14ac:dyDescent="0.35">
      <c r="A89" s="10" t="s">
        <v>37</v>
      </c>
      <c r="B89" s="8">
        <v>657</v>
      </c>
      <c r="C89" s="8">
        <v>1288</v>
      </c>
      <c r="D89" s="1">
        <v>0.49</v>
      </c>
      <c r="E89" s="6">
        <v>12.68</v>
      </c>
      <c r="F89" s="6">
        <v>3.8894736999999999</v>
      </c>
      <c r="G89" s="8">
        <f t="shared" si="3"/>
        <v>631</v>
      </c>
      <c r="H89" s="10" t="str">
        <f t="shared" si="4"/>
        <v>Average</v>
      </c>
      <c r="I89" s="10" t="str">
        <f t="shared" si="5"/>
        <v>High Discount</v>
      </c>
    </row>
    <row r="90" spans="1:9" x14ac:dyDescent="0.35">
      <c r="A90" s="10" t="s">
        <v>48</v>
      </c>
      <c r="B90" s="8">
        <v>1468</v>
      </c>
      <c r="C90" s="8">
        <v>1699</v>
      </c>
      <c r="D90" s="1">
        <v>0.14000000000000001</v>
      </c>
      <c r="E90" s="6">
        <v>12.68</v>
      </c>
      <c r="F90" s="6">
        <v>3.8894736999999999</v>
      </c>
      <c r="G90" s="8">
        <f t="shared" si="3"/>
        <v>231</v>
      </c>
      <c r="H90" s="10" t="str">
        <f t="shared" si="4"/>
        <v>Average</v>
      </c>
      <c r="I90" s="10" t="str">
        <f t="shared" si="5"/>
        <v>Low Discount</v>
      </c>
    </row>
    <row r="91" spans="1:9" x14ac:dyDescent="0.35">
      <c r="A91" s="10" t="s">
        <v>49</v>
      </c>
      <c r="B91" s="8">
        <v>630</v>
      </c>
      <c r="C91" s="8">
        <v>1100</v>
      </c>
      <c r="D91" s="1">
        <v>0.43</v>
      </c>
      <c r="E91" s="6">
        <v>12.68</v>
      </c>
      <c r="F91" s="6">
        <v>3.8894736999999999</v>
      </c>
      <c r="G91" s="8">
        <f t="shared" si="3"/>
        <v>470</v>
      </c>
      <c r="H91" s="10" t="str">
        <f t="shared" si="4"/>
        <v>Average</v>
      </c>
      <c r="I91" s="10" t="str">
        <f t="shared" si="5"/>
        <v>High Discount</v>
      </c>
    </row>
    <row r="92" spans="1:9" x14ac:dyDescent="0.35">
      <c r="A92" s="10" t="s">
        <v>50</v>
      </c>
      <c r="B92" s="8">
        <v>850</v>
      </c>
      <c r="C92" s="8">
        <v>1700</v>
      </c>
      <c r="D92" s="1">
        <v>0.5</v>
      </c>
      <c r="E92" s="6">
        <v>12.68</v>
      </c>
      <c r="F92" s="6">
        <v>3.8894736999999999</v>
      </c>
      <c r="G92" s="8">
        <f t="shared" si="3"/>
        <v>850</v>
      </c>
      <c r="H92" s="10" t="str">
        <f t="shared" si="4"/>
        <v>Average</v>
      </c>
      <c r="I92" s="10" t="str">
        <f t="shared" si="5"/>
        <v>High Discount</v>
      </c>
    </row>
    <row r="93" spans="1:9" x14ac:dyDescent="0.35">
      <c r="A93" s="10" t="s">
        <v>51</v>
      </c>
      <c r="B93" s="8">
        <v>1300</v>
      </c>
      <c r="C93" s="8">
        <v>2500</v>
      </c>
      <c r="D93" s="1">
        <v>0.48</v>
      </c>
      <c r="E93" s="6">
        <v>12.68</v>
      </c>
      <c r="F93" s="6">
        <v>3.8894736999999999</v>
      </c>
      <c r="G93" s="8">
        <f t="shared" si="3"/>
        <v>1200</v>
      </c>
      <c r="H93" s="10" t="str">
        <f t="shared" si="4"/>
        <v>Average</v>
      </c>
      <c r="I93" s="10" t="str">
        <f t="shared" si="5"/>
        <v>High Discount</v>
      </c>
    </row>
    <row r="94" spans="1:9" x14ac:dyDescent="0.35">
      <c r="A94" s="10" t="s">
        <v>52</v>
      </c>
      <c r="B94" s="8">
        <v>105</v>
      </c>
      <c r="C94" s="8">
        <v>200</v>
      </c>
      <c r="D94" s="1">
        <v>0.48</v>
      </c>
      <c r="E94" s="6">
        <v>12.68</v>
      </c>
      <c r="F94" s="6">
        <v>3.8894736999999999</v>
      </c>
      <c r="G94" s="8">
        <f t="shared" si="3"/>
        <v>95</v>
      </c>
      <c r="H94" s="10" t="str">
        <f t="shared" si="4"/>
        <v>Average</v>
      </c>
      <c r="I94" s="10" t="str">
        <f t="shared" si="5"/>
        <v>High Discount</v>
      </c>
    </row>
    <row r="95" spans="1:9" x14ac:dyDescent="0.35">
      <c r="A95" s="10" t="s">
        <v>53</v>
      </c>
      <c r="B95" s="8">
        <v>899</v>
      </c>
      <c r="C95" s="8">
        <v>1699</v>
      </c>
      <c r="D95" s="1">
        <v>0.47</v>
      </c>
      <c r="E95" s="6">
        <v>12.68</v>
      </c>
      <c r="F95" s="6">
        <v>3.8894736999999999</v>
      </c>
      <c r="G95" s="8">
        <f t="shared" si="3"/>
        <v>800</v>
      </c>
      <c r="H95" s="10" t="str">
        <f t="shared" si="4"/>
        <v>Average</v>
      </c>
      <c r="I95" s="10" t="str">
        <f t="shared" si="5"/>
        <v>High Discount</v>
      </c>
    </row>
    <row r="96" spans="1:9" x14ac:dyDescent="0.35">
      <c r="A96" s="10" t="s">
        <v>108</v>
      </c>
      <c r="B96" s="8">
        <v>1200</v>
      </c>
      <c r="C96" s="8">
        <v>2400</v>
      </c>
      <c r="D96" s="1">
        <v>0.5</v>
      </c>
      <c r="E96" s="6">
        <v>12.68</v>
      </c>
      <c r="F96" s="6">
        <v>3.8894736999999999</v>
      </c>
      <c r="G96" s="8">
        <f t="shared" si="3"/>
        <v>1200</v>
      </c>
      <c r="H96" s="10" t="str">
        <f t="shared" si="4"/>
        <v>Average</v>
      </c>
      <c r="I96" s="10" t="str">
        <f t="shared" si="5"/>
        <v>High Discount</v>
      </c>
    </row>
    <row r="97" spans="1:9" x14ac:dyDescent="0.35">
      <c r="A97" s="10" t="s">
        <v>54</v>
      </c>
      <c r="B97" s="8">
        <v>1526</v>
      </c>
      <c r="C97" s="8">
        <v>1660</v>
      </c>
      <c r="D97" s="1">
        <v>0.08</v>
      </c>
      <c r="E97" s="6">
        <v>12.68</v>
      </c>
      <c r="F97" s="6">
        <v>3.8894736999999999</v>
      </c>
      <c r="G97" s="8">
        <f t="shared" si="3"/>
        <v>134</v>
      </c>
      <c r="H97" s="10" t="str">
        <f t="shared" si="4"/>
        <v>Average</v>
      </c>
      <c r="I97" s="10" t="str">
        <f t="shared" si="5"/>
        <v>Low Discount</v>
      </c>
    </row>
    <row r="98" spans="1:9" x14ac:dyDescent="0.35">
      <c r="A98" s="10" t="s">
        <v>55</v>
      </c>
      <c r="B98" s="8">
        <v>1462</v>
      </c>
      <c r="C98" s="8">
        <v>1499</v>
      </c>
      <c r="D98" s="1">
        <v>0.02</v>
      </c>
      <c r="E98" s="6">
        <v>12.68</v>
      </c>
      <c r="F98" s="6">
        <v>3.8894736999999999</v>
      </c>
      <c r="G98" s="8">
        <f t="shared" si="3"/>
        <v>37</v>
      </c>
      <c r="H98" s="10" t="str">
        <f t="shared" si="4"/>
        <v>Average</v>
      </c>
      <c r="I98" s="10" t="str">
        <f t="shared" si="5"/>
        <v>Low Discount</v>
      </c>
    </row>
    <row r="99" spans="1:9" x14ac:dyDescent="0.35">
      <c r="A99" s="10" t="s">
        <v>56</v>
      </c>
      <c r="B99" s="8">
        <v>248</v>
      </c>
      <c r="C99" s="8">
        <v>486</v>
      </c>
      <c r="D99" s="1">
        <v>0.49</v>
      </c>
      <c r="E99" s="6">
        <v>12.68</v>
      </c>
      <c r="F99" s="6">
        <v>3.8894736999999999</v>
      </c>
      <c r="G99" s="8">
        <f t="shared" si="3"/>
        <v>238</v>
      </c>
      <c r="H99" s="10" t="str">
        <f t="shared" si="4"/>
        <v>Average</v>
      </c>
      <c r="I99" s="10" t="str">
        <f t="shared" si="5"/>
        <v>High Discount</v>
      </c>
    </row>
    <row r="100" spans="1:9" x14ac:dyDescent="0.35">
      <c r="A100" s="10" t="s">
        <v>57</v>
      </c>
      <c r="B100" s="8">
        <v>3546</v>
      </c>
      <c r="C100" s="8">
        <v>3699</v>
      </c>
      <c r="D100" s="1">
        <v>0.04</v>
      </c>
      <c r="E100" s="6">
        <v>12.68</v>
      </c>
      <c r="F100" s="6">
        <v>3.8894736999999999</v>
      </c>
      <c r="G100" s="8">
        <f t="shared" si="3"/>
        <v>153</v>
      </c>
      <c r="H100" s="10" t="str">
        <f t="shared" si="4"/>
        <v>Average</v>
      </c>
      <c r="I100" s="10" t="str">
        <f t="shared" si="5"/>
        <v>Low Discount</v>
      </c>
    </row>
    <row r="101" spans="1:9" x14ac:dyDescent="0.35">
      <c r="A101" s="10" t="s">
        <v>58</v>
      </c>
      <c r="B101" s="8">
        <v>525</v>
      </c>
      <c r="C101" s="8">
        <v>1029</v>
      </c>
      <c r="D101" s="1">
        <v>0.49</v>
      </c>
      <c r="E101" s="6">
        <v>12.68</v>
      </c>
      <c r="F101" s="6">
        <v>3.8894736999999999</v>
      </c>
      <c r="G101" s="8">
        <f t="shared" si="3"/>
        <v>504</v>
      </c>
      <c r="H101" s="10" t="str">
        <f t="shared" si="4"/>
        <v>Average</v>
      </c>
      <c r="I101" s="10" t="str">
        <f t="shared" si="5"/>
        <v>High Discount</v>
      </c>
    </row>
    <row r="102" spans="1:9" x14ac:dyDescent="0.35">
      <c r="A102" s="10" t="s">
        <v>109</v>
      </c>
      <c r="B102" s="8">
        <v>1080</v>
      </c>
      <c r="C102" s="8">
        <v>1874</v>
      </c>
      <c r="D102" s="1">
        <v>0.42</v>
      </c>
      <c r="E102" s="6">
        <v>12.68</v>
      </c>
      <c r="F102" s="6">
        <v>3.8894736999999999</v>
      </c>
      <c r="G102" s="8">
        <f t="shared" si="3"/>
        <v>794</v>
      </c>
      <c r="H102" s="10" t="str">
        <f t="shared" si="4"/>
        <v>Average</v>
      </c>
      <c r="I102" s="10" t="str">
        <f t="shared" si="5"/>
        <v>High Discount</v>
      </c>
    </row>
    <row r="103" spans="1:9" x14ac:dyDescent="0.35">
      <c r="A103" s="10" t="s">
        <v>110</v>
      </c>
      <c r="B103" s="8">
        <v>3640</v>
      </c>
      <c r="C103" s="8">
        <v>4588</v>
      </c>
      <c r="D103" s="1">
        <v>0.21</v>
      </c>
      <c r="E103" s="6">
        <v>1</v>
      </c>
      <c r="F103" s="6">
        <v>5</v>
      </c>
      <c r="G103" s="8">
        <f t="shared" si="3"/>
        <v>948</v>
      </c>
      <c r="H103" s="10" t="str">
        <f t="shared" si="4"/>
        <v>Excellent</v>
      </c>
      <c r="I103" s="10" t="str">
        <f t="shared" si="5"/>
        <v>Medium Discount</v>
      </c>
    </row>
    <row r="104" spans="1:9" x14ac:dyDescent="0.35">
      <c r="A104" s="10" t="s">
        <v>111</v>
      </c>
      <c r="B104" s="8">
        <v>1420</v>
      </c>
      <c r="C104" s="8">
        <v>2420</v>
      </c>
      <c r="D104" s="1">
        <v>0.41</v>
      </c>
      <c r="E104" s="6">
        <v>12.68</v>
      </c>
      <c r="F104" s="6">
        <v>3.8894736999999999</v>
      </c>
      <c r="G104" s="8">
        <f t="shared" si="3"/>
        <v>1000</v>
      </c>
      <c r="H104" s="10" t="str">
        <f t="shared" si="4"/>
        <v>Average</v>
      </c>
      <c r="I104" s="10" t="str">
        <f t="shared" si="5"/>
        <v>High Discount</v>
      </c>
    </row>
    <row r="105" spans="1:9" x14ac:dyDescent="0.35">
      <c r="A105" s="10" t="s">
        <v>112</v>
      </c>
      <c r="B105" s="8">
        <v>1875</v>
      </c>
      <c r="C105" s="8">
        <v>1899</v>
      </c>
      <c r="D105" s="1">
        <v>0.01</v>
      </c>
      <c r="E105" s="6">
        <v>12.68</v>
      </c>
      <c r="F105" s="6">
        <v>3.8894736999999999</v>
      </c>
      <c r="G105" s="8">
        <f t="shared" si="3"/>
        <v>24</v>
      </c>
      <c r="H105" s="10" t="str">
        <f t="shared" si="4"/>
        <v>Average</v>
      </c>
      <c r="I105" s="10" t="str">
        <f t="shared" si="5"/>
        <v>Low Discount</v>
      </c>
    </row>
    <row r="106" spans="1:9" x14ac:dyDescent="0.35">
      <c r="A106" s="10" t="s">
        <v>113</v>
      </c>
      <c r="B106" s="8">
        <v>198</v>
      </c>
      <c r="C106" s="8">
        <v>260</v>
      </c>
      <c r="D106" s="1">
        <v>0.24</v>
      </c>
      <c r="E106" s="6">
        <v>12.68</v>
      </c>
      <c r="F106" s="6">
        <v>3.8894736999999999</v>
      </c>
      <c r="G106" s="8">
        <f t="shared" si="3"/>
        <v>62</v>
      </c>
      <c r="H106" s="10" t="str">
        <f t="shared" si="4"/>
        <v>Average</v>
      </c>
      <c r="I106" s="10" t="str">
        <f t="shared" si="5"/>
        <v>Medium Discount</v>
      </c>
    </row>
    <row r="107" spans="1:9" x14ac:dyDescent="0.35">
      <c r="A107" s="10" t="s">
        <v>114</v>
      </c>
      <c r="B107" s="8">
        <v>1150</v>
      </c>
      <c r="C107" s="8">
        <v>1737</v>
      </c>
      <c r="D107" s="1">
        <v>0.34</v>
      </c>
      <c r="E107" s="6">
        <v>12.68</v>
      </c>
      <c r="F107" s="6">
        <v>3.8894736999999999</v>
      </c>
      <c r="G107" s="8">
        <f t="shared" si="3"/>
        <v>587</v>
      </c>
      <c r="H107" s="10" t="str">
        <f t="shared" si="4"/>
        <v>Average</v>
      </c>
      <c r="I107" s="10" t="str">
        <f t="shared" si="5"/>
        <v>Medium Discount</v>
      </c>
    </row>
    <row r="108" spans="1:9" x14ac:dyDescent="0.35">
      <c r="A108" s="10" t="s">
        <v>115</v>
      </c>
      <c r="B108" s="8">
        <v>1190</v>
      </c>
      <c r="C108" s="8">
        <v>1810</v>
      </c>
      <c r="D108" s="1">
        <v>0.34</v>
      </c>
      <c r="E108" s="6">
        <v>12.68</v>
      </c>
      <c r="F108" s="6">
        <v>3.8894736999999999</v>
      </c>
      <c r="G108" s="8">
        <f t="shared" si="3"/>
        <v>620</v>
      </c>
      <c r="H108" s="10" t="str">
        <f t="shared" si="4"/>
        <v>Average</v>
      </c>
      <c r="I108" s="10" t="str">
        <f t="shared" si="5"/>
        <v>Medium Discount</v>
      </c>
    </row>
    <row r="109" spans="1:9" x14ac:dyDescent="0.35">
      <c r="A109" s="10" t="s">
        <v>59</v>
      </c>
      <c r="B109" s="8">
        <v>1658</v>
      </c>
      <c r="C109" s="8">
        <v>1699</v>
      </c>
      <c r="D109" s="1">
        <v>0.02</v>
      </c>
      <c r="E109" s="6">
        <v>12.68</v>
      </c>
      <c r="F109" s="6">
        <v>3.8894736999999999</v>
      </c>
      <c r="G109" s="8">
        <f t="shared" si="3"/>
        <v>41</v>
      </c>
      <c r="H109" s="10" t="str">
        <f t="shared" si="4"/>
        <v>Average</v>
      </c>
      <c r="I109" s="10" t="str">
        <f t="shared" si="5"/>
        <v>Low Discount</v>
      </c>
    </row>
    <row r="110" spans="1:9" x14ac:dyDescent="0.35">
      <c r="A110" s="10" t="s">
        <v>60</v>
      </c>
      <c r="B110" s="8">
        <v>1768</v>
      </c>
      <c r="C110" s="8">
        <v>1799</v>
      </c>
      <c r="D110" s="1">
        <v>0.02</v>
      </c>
      <c r="E110" s="6">
        <v>12.68</v>
      </c>
      <c r="F110" s="6">
        <v>3.8894736999999999</v>
      </c>
      <c r="G110" s="8">
        <f t="shared" si="3"/>
        <v>31</v>
      </c>
      <c r="H110" s="10" t="str">
        <f t="shared" si="4"/>
        <v>Average</v>
      </c>
      <c r="I110" s="10" t="str">
        <f t="shared" si="5"/>
        <v>Low Discount</v>
      </c>
    </row>
    <row r="111" spans="1:9" x14ac:dyDescent="0.35">
      <c r="A111" s="10" t="s">
        <v>61</v>
      </c>
      <c r="B111" s="8">
        <v>199</v>
      </c>
      <c r="C111" s="8">
        <v>553</v>
      </c>
      <c r="D111" s="1">
        <v>0.64</v>
      </c>
      <c r="E111" s="6">
        <v>12.68</v>
      </c>
      <c r="F111" s="6">
        <v>3.8894736999999999</v>
      </c>
      <c r="G111" s="8">
        <f t="shared" si="3"/>
        <v>354</v>
      </c>
      <c r="H111" s="10" t="str">
        <f t="shared" si="4"/>
        <v>Average</v>
      </c>
      <c r="I111" s="10" t="str">
        <f t="shared" si="5"/>
        <v>High Discount</v>
      </c>
    </row>
    <row r="112" spans="1:9" x14ac:dyDescent="0.35">
      <c r="A112" s="10" t="s">
        <v>116</v>
      </c>
      <c r="B112" s="8">
        <v>450</v>
      </c>
      <c r="C112" s="8">
        <v>900</v>
      </c>
      <c r="D112" s="1">
        <v>0.5</v>
      </c>
      <c r="E112" s="6">
        <v>1</v>
      </c>
      <c r="F112" s="6">
        <v>2</v>
      </c>
      <c r="G112" s="8">
        <f t="shared" si="3"/>
        <v>450</v>
      </c>
      <c r="H112" s="10" t="str">
        <f t="shared" si="4"/>
        <v>Poor</v>
      </c>
      <c r="I112" s="10" t="str">
        <f t="shared" si="5"/>
        <v>High Discount</v>
      </c>
    </row>
    <row r="113" spans="1:9" x14ac:dyDescent="0.35">
      <c r="A113" s="10" t="s">
        <v>62</v>
      </c>
      <c r="B113" s="8">
        <v>169</v>
      </c>
      <c r="C113" s="8">
        <v>320</v>
      </c>
      <c r="D113" s="1">
        <v>0.47</v>
      </c>
      <c r="E113" s="6">
        <v>12.68</v>
      </c>
      <c r="F113" s="6">
        <v>3.8894736999999999</v>
      </c>
      <c r="G113" s="8">
        <f t="shared" si="3"/>
        <v>151</v>
      </c>
      <c r="H113" s="10" t="str">
        <f t="shared" si="4"/>
        <v>Average</v>
      </c>
      <c r="I113" s="10" t="str">
        <f t="shared" si="5"/>
        <v>High Discount</v>
      </c>
    </row>
    <row r="115" spans="1:9" x14ac:dyDescent="0.35">
      <c r="A115" s="9" t="s">
        <v>120</v>
      </c>
      <c r="B115" s="8">
        <f>AVERAGE(B2:B113)</f>
        <v>1186.8928571428571</v>
      </c>
      <c r="C115" s="8">
        <f>AVERAGE(C2:C113)</f>
        <v>1811.1071428571429</v>
      </c>
      <c r="D115" s="1">
        <f>AVERAGE(D2:D113)</f>
        <v>0.36776785714285715</v>
      </c>
      <c r="E115" s="6">
        <f>AVERAGE(E2:E113)</f>
        <v>12.682142857142864</v>
      </c>
      <c r="F115" s="6">
        <f>AVERAGE(F2:F114)</f>
        <v>3.8894736919642838</v>
      </c>
    </row>
    <row r="118" spans="1:9" x14ac:dyDescent="0.35">
      <c r="A118" t="str">
        <f>INDEX(A2:A113, MATCH(MAX(B2:B113), B2:B113, 0))</f>
        <v>32Pcs Portable Cordless Drill Set With Cyclic Battery Drive -26 Variable Speed</v>
      </c>
      <c r="B118" s="8">
        <f>MAX(B2:B113)</f>
        <v>3750</v>
      </c>
    </row>
    <row r="119" spans="1:9" x14ac:dyDescent="0.35">
      <c r="A119" t="str">
        <f xml:space="preserve"> INDEX(A2:A113, MATCH(MIN(B2:B113), B2:B113, 0))</f>
        <v>3Pcs Single Head Knitting Crochet Sweater Needle Set</v>
      </c>
      <c r="B119" s="8">
        <f>MIN(B2:B113)</f>
        <v>38</v>
      </c>
    </row>
  </sheetData>
  <autoFilter ref="A1:I115" xr:uid="{C4E48F1B-4768-4542-A1E9-0D8EDFC9BFB3}"/>
  <phoneticPr fontId="18" type="noConversion"/>
  <conditionalFormatting sqref="H1:I1048576">
    <cfRule type="containsText" dxfId="2" priority="3" operator="containsText" text="High Discount">
      <formula>NOT(ISERROR(SEARCH("High Discount",H1)))</formula>
    </cfRule>
  </conditionalFormatting>
  <conditionalFormatting sqref="H1:I1048576">
    <cfRule type="containsText" dxfId="1" priority="2" operator="containsText" text="High Discount">
      <formula>NOT(ISERROR(SEARCH("High Discount",H1)))</formula>
    </cfRule>
  </conditionalFormatting>
  <conditionalFormatting sqref="H1:I1048576">
    <cfRule type="containsText" dxfId="0" priority="1" operator="containsText" text="Poor">
      <formula>NOT(ISERROR(SEARCH("Poor",H1)))</formula>
    </cfRule>
  </conditionalFormatting>
  <dataValidations count="6">
    <dataValidation type="whole" allowBlank="1" showInputMessage="1" showErrorMessage="1" sqref="C1:C114 C116:C1048576" xr:uid="{5FE18461-F415-4486-90B8-38C799256995}">
      <formula1>1</formula1>
      <formula2>50000</formula2>
    </dataValidation>
    <dataValidation type="custom" allowBlank="1" showInputMessage="1" showErrorMessage="1" sqref="E1:E1048576 F1:F1048576" xr:uid="{79417F3B-04D6-47C4-B392-CE32050D2380}">
      <formula1>E2=ROUND(E2,1)</formula1>
    </dataValidation>
    <dataValidation type="whole" allowBlank="1" showInputMessage="1" showErrorMessage="1" sqref="G1:G1048576" xr:uid="{82A992B7-B992-4070-8916-81E5D316D29F}">
      <formula1>20</formula1>
      <formula2>2600</formula2>
    </dataValidation>
    <dataValidation type="textLength" allowBlank="1" showInputMessage="1" showErrorMessage="1" sqref="H1:H1048576" xr:uid="{04FEE009-F733-4A11-AC1B-31A46EFC7D22}">
      <formula1>1</formula1>
      <formula2>10</formula2>
    </dataValidation>
    <dataValidation type="textLength" allowBlank="1" showInputMessage="1" showErrorMessage="1" sqref="I1:I1048576" xr:uid="{164302C2-6F8A-4389-8EE1-541AA17751DF}">
      <formula1>1</formula1>
      <formula2>20</formula2>
    </dataValidation>
    <dataValidation type="whole" allowBlank="1" showInputMessage="1" showErrorMessage="1" sqref="D1:D1048576" xr:uid="{54B933B8-4925-43B9-A7FC-1528CC73B793}">
      <formula1>1</formula1>
      <formula2>100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4CBD-2B86-4609-9073-AC3D0A74D1C4}">
  <dimension ref="A60:C64"/>
  <sheetViews>
    <sheetView tabSelected="1" topLeftCell="A52" workbookViewId="0">
      <selection activeCell="A65" sqref="A65"/>
    </sheetView>
  </sheetViews>
  <sheetFormatPr defaultRowHeight="14.5" x14ac:dyDescent="0.35"/>
  <cols>
    <col min="1" max="16384" width="8.7265625" style="23"/>
  </cols>
  <sheetData>
    <row r="60" spans="1:3" x14ac:dyDescent="0.35">
      <c r="C60" s="24" t="s">
        <v>137</v>
      </c>
    </row>
    <row r="61" spans="1:3" x14ac:dyDescent="0.35">
      <c r="A61" s="23" t="s">
        <v>138</v>
      </c>
    </row>
    <row r="62" spans="1:3" x14ac:dyDescent="0.35">
      <c r="A62" s="23" t="s">
        <v>140</v>
      </c>
    </row>
    <row r="63" spans="1:3" x14ac:dyDescent="0.35">
      <c r="A63" s="23" t="s">
        <v>141</v>
      </c>
    </row>
    <row r="64" spans="1:3" x14ac:dyDescent="0.35">
      <c r="A64" s="23" t="s">
        <v>142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Avg Product Discount&amp;Rating</vt:lpstr>
      <vt:lpstr>Discount%&amp;Reviews</vt:lpstr>
      <vt:lpstr>Rating&amp;Reviews</vt:lpstr>
      <vt:lpstr>Top 5 Highest Product Rating</vt:lpstr>
      <vt:lpstr>Product Discount</vt:lpstr>
      <vt:lpstr>Top 5 Lowest Rated pdcts</vt:lpstr>
      <vt:lpstr>Top 10 Most Reviewed Pdcts</vt:lpstr>
      <vt:lpstr>High vs Low Discount Perf</vt:lpstr>
      <vt:lpstr>Product by Rating Category</vt:lpstr>
      <vt:lpstr>Top 10 Rated Product</vt:lpstr>
      <vt:lpstr>Rating and Price</vt:lpstr>
      <vt:lpstr>Cleaned Excel_jumia_dataset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Fanuel Awidhi</cp:lastModifiedBy>
  <dcterms:created xsi:type="dcterms:W3CDTF">2026-06-16T23:18:35Z</dcterms:created>
  <dcterms:modified xsi:type="dcterms:W3CDTF">2026-06-17T16:21:14Z</dcterms:modified>
</cp:coreProperties>
</file>